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fb4200c2b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c25eba6b7734417"/>
    <x:sheet xmlns:r="http://schemas.openxmlformats.org/officeDocument/2006/relationships" name="Inputs" sheetId="2" r:id="R8b3ec631bfba477f"/>
    <x:sheet xmlns:r="http://schemas.openxmlformats.org/officeDocument/2006/relationships" name="Model" sheetId="3" r:id="R4b1b5d7df89d422e"/>
    <x:sheet xmlns:r="http://schemas.openxmlformats.org/officeDocument/2006/relationships" name="Checks &amp; Handoffs" sheetId="4" r:id="Ref40ab7d4a8c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"/>
    <x:numFmt numFmtId="202" formatCode="0.0%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200" fontId="6" fillId="5" borderId="3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2" fontId="8" fillId="6" borderId="2" xfId="0" applyNumberFormat="1" applyFont="1" applyFill="1" applyBorder="1"/>
    <x:xf numFmtId="202" fontId="8" fillId="6" borderId="3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5" borderId="2" xfId="0" applyNumberFormat="1" applyFont="1" applyFill="1" applyBorder="1"/>
    <x:xf numFmtId="0" fontId="4" fillId="0" borderId="3" xfId="0" applyNumberFormat="1" applyFont="1" applyFill="1" applyBorder="1"/>
    <x:xf numFmtId="200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202" fontId="4" fillId="6" borderId="2" xfId="0" applyNumberFormat="1" applyFont="1" applyFill="1" applyBorder="1"/>
    <x:xf numFmtId="0" fontId="4" fillId="6" borderId="2" xfId="0" applyNumberFormat="1" applyFont="1" applyFill="1" applyBorder="1"/>
    <x:xf numFmtId="202" fontId="4" fillId="6" borderId="3" xfId="0" applyNumberFormat="1" applyFont="1" applyFill="1" applyBorder="1"/>
    <x:xf numFmtId="0" fontId="4" fillId="6" borderId="3" xfId="0" applyNumberFormat="1" applyFont="1" applyFill="1" applyBorder="1"/>
    <x:xf numFmtId="201" fontId="4" fillId="0" borderId="2" xfId="0" applyNumberFormat="1" applyFont="1" applyFill="1" applyBorder="1" applyAlignment="1">
      <x:alignment wrapText="1"/>
    </x:xf>
    <x:xf numFmtId="201" fontId="4" fillId="0" borderId="3" xfId="0" applyNumberFormat="1" applyFont="1" applyFill="1" applyBorder="1" applyAlignment="1">
      <x:alignment wrapText="1"/>
    </x:xf>
    <x:xf numFmtId="202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202" fontId="4" fillId="6" borderId="3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92a38f9004ec9" /><Relationship Type="http://schemas.openxmlformats.org/officeDocument/2006/relationships/theme" Target="/xl/theme/theme1.xml" Id="R20a1053a2e154e5d" /><Relationship Type="http://schemas.openxmlformats.org/officeDocument/2006/relationships/sharedStrings" Target="/xl/sharedStrings.xml" Id="R84ae7264a6f8402a" /><Relationship Type="http://schemas.openxmlformats.org/officeDocument/2006/relationships/worksheet" Target="/xl/worksheets/sheet1.xml" Id="R9c25eba6b7734417" /><Relationship Type="http://schemas.openxmlformats.org/officeDocument/2006/relationships/worksheet" Target="/xl/worksheets/sheet2.xml" Id="R8b3ec631bfba477f" /><Relationship Type="http://schemas.openxmlformats.org/officeDocument/2006/relationships/worksheet" Target="/xl/worksheets/sheet3.xml" Id="R4b1b5d7df89d422e" /><Relationship Type="http://schemas.openxmlformats.org/officeDocument/2006/relationships/worksheet" Target="/xl/worksheets/sheet4.xml" Id="Ref40ab7d4a8c45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Territory Planning</x:v>
      </x:c>
    </x:row>
    <x:row r="2" ht="26" customHeight="1">
      <x:c r="A2" s="4" t="str">
        <x:v>Balance market potential, account load, seller capacity, and continuity.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How should accounts and opportunity potential be distributed fairly?</x:v>
      </x:c>
      <x:c r="C5" s="9"/>
      <x:c r="D5" s="9" t="str">
        <x:v>1. Uses account scoring and segment rules.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Uses seller capacity and quota.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Hands assignments to Salesforce and coverage planning.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/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40" t="str">
        <x:v>Territory Planning | Inputs</x:v>
      </x:c>
      <x:c r="B1" s="9"/>
      <x:c r="C1" s="9"/>
      <x:c r="D1" s="9"/>
    </x:row>
    <x:row r="2" ht="15" hidden="0" customHeight="1">
      <x:c r="A2" s="41" t="str">
        <x:v>ASSUMPTION</x:v>
      </x:c>
      <x:c r="B2" s="41" t="str">
        <x:v>VALUE</x:v>
      </x:c>
      <x:c r="C2" s="41" t="str">
        <x:v>UNIT / TYPE</x:v>
      </x:c>
      <x:c r="D2" s="41" t="str">
        <x:v>WHY IT MATTERS</x:v>
      </x:c>
    </x:row>
    <x:row r="3" ht="15" hidden="0" customHeight="1">
      <x:c r="A3" s="42" t="str">
        <x:v>Potential weight</x:v>
      </x:c>
      <x:c r="B3" s="43" t="n">
        <x:v>0.45</x:v>
      </x:c>
      <x:c r="C3" s="42" t="str">
        <x:v>Percent</x:v>
      </x:c>
      <x:c r="D3" s="42" t="str">
        <x:v>Importance of account potential</x:v>
      </x:c>
    </x:row>
    <x:row r="4" ht="15" hidden="0" customHeight="1">
      <x:c r="A4" s="42" t="str">
        <x:v>Capacity weight</x:v>
      </x:c>
      <x:c r="B4" s="43" t="n">
        <x:v>0.3</x:v>
      </x:c>
      <x:c r="C4" s="42" t="str">
        <x:v>Percent</x:v>
      </x:c>
      <x:c r="D4" s="42" t="str">
        <x:v>Importance of seller capacity</x:v>
      </x:c>
    </x:row>
    <x:row r="5" ht="15" hidden="0" customHeight="1">
      <x:c r="A5" s="42" t="str">
        <x:v>Geography weight</x:v>
      </x:c>
      <x:c r="B5" s="43" t="n">
        <x:v>0.15</x:v>
      </x:c>
      <x:c r="C5" s="42" t="str">
        <x:v>Percent</x:v>
      </x:c>
      <x:c r="D5" s="42" t="str">
        <x:v>Importance of travel / region fit</x:v>
      </x:c>
    </x:row>
    <x:row r="6" ht="15" hidden="0" customHeight="1">
      <x:c r="A6" s="42" t="str">
        <x:v>Continuity weight</x:v>
      </x:c>
      <x:c r="B6" s="43" t="n">
        <x:v>0.1</x:v>
      </x:c>
      <x:c r="C6" s="42" t="str">
        <x:v>Percent</x:v>
      </x:c>
      <x:c r="D6" s="42" t="str">
        <x:v>Importance of relationship preservation</x:v>
      </x:c>
    </x:row>
    <x:row r="7" ht="15" hidden="0" customHeight="1">
      <x:c r="A7" s="44" t="str">
        <x:v>Target load balance</x:v>
      </x:c>
      <x:c r="B7" s="45" t="n">
        <x:v>0.15</x:v>
      </x:c>
      <x:c r="C7" s="44" t="str">
        <x:v>Percent variance</x:v>
      </x:c>
      <x:c r="D7" s="44" t="str">
        <x:v>Maximum acceptable variance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40" t="str">
        <x:v>Territory Planning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15" hidden="0" customHeight="1">
      <x:c r="A3" s="46" t="str">
        <x:v>SELLER</x:v>
      </x:c>
      <x:c r="B3" s="46" t="str">
        <x:v>REGION</x:v>
      </x:c>
      <x:c r="C3" s="46" t="str">
        <x:v>SEGMENT</x:v>
      </x:c>
      <x:c r="D3" s="46" t="str">
        <x:v>ACCOUNT COUNT</x:v>
      </x:c>
      <x:c r="E3" s="46" t="str">
        <x:v>POTENTIAL ARR</x:v>
      </x:c>
      <x:c r="F3" s="46" t="str">
        <x:v>CAPACITY ARR</x:v>
      </x:c>
    </x:row>
    <x:row r="4" ht="15" hidden="0" customHeight="1">
      <x:c r="A4" s="42" t="str">
        <x:v>Maya Chen</x:v>
      </x:c>
      <x:c r="B4" s="42" t="str">
        <x:v>West</x:v>
      </x:c>
      <x:c r="C4" s="42" t="str">
        <x:v>Enterprise</x:v>
      </x:c>
      <x:c r="D4" s="42" t="n">
        <x:v>72</x:v>
      </x:c>
      <x:c r="E4" s="53" t="n">
        <x:v>8400000</x:v>
      </x:c>
      <x:c r="F4" s="53" t="n">
        <x:v>5200000</x:v>
      </x:c>
    </x:row>
    <x:row r="5" ht="15" hidden="0" customHeight="1">
      <x:c r="A5" s="42" t="str">
        <x:v>Sam Rivera</x:v>
      </x:c>
      <x:c r="B5" s="42" t="str">
        <x:v>Central</x:v>
      </x:c>
      <x:c r="C5" s="42" t="str">
        <x:v>Enterprise</x:v>
      </x:c>
      <x:c r="D5" s="42" t="n">
        <x:v>61</x:v>
      </x:c>
      <x:c r="E5" s="53" t="n">
        <x:v>6900000</x:v>
      </x:c>
      <x:c r="F5" s="53" t="n">
        <x:v>4800000</x:v>
      </x:c>
    </x:row>
    <x:row r="6" ht="15" hidden="0" customHeight="1">
      <x:c r="A6" s="42" t="str">
        <x:v>Jordan Lee</x:v>
      </x:c>
      <x:c r="B6" s="42" t="str">
        <x:v>West</x:v>
      </x:c>
      <x:c r="C6" s="42" t="str">
        <x:v>Mid-Market</x:v>
      </x:c>
      <x:c r="D6" s="42" t="n">
        <x:v>94</x:v>
      </x:c>
      <x:c r="E6" s="53" t="n">
        <x:v>4100000</x:v>
      </x:c>
      <x:c r="F6" s="53" t="n">
        <x:v>3600000</x:v>
      </x:c>
    </x:row>
    <x:row r="7" ht="15" hidden="0" customHeight="1">
      <x:c r="A7" s="42" t="str">
        <x:v>Nia Patel</x:v>
      </x:c>
      <x:c r="B7" s="42" t="str">
        <x:v>East</x:v>
      </x:c>
      <x:c r="C7" s="42" t="str">
        <x:v>Mid-Market</x:v>
      </x:c>
      <x:c r="D7" s="42" t="n">
        <x:v>88</x:v>
      </x:c>
      <x:c r="E7" s="53" t="n">
        <x:v>3900000</x:v>
      </x:c>
      <x:c r="F7" s="53" t="n">
        <x:v>3500000</x:v>
      </x:c>
    </x:row>
    <x:row r="8" ht="15" hidden="0" customHeight="1">
      <x:c r="A8" s="42" t="str">
        <x:v>Theo Brooks</x:v>
      </x:c>
      <x:c r="B8" s="42" t="str">
        <x:v>East</x:v>
      </x:c>
      <x:c r="C8" s="42" t="str">
        <x:v>Commercial</x:v>
      </x:c>
      <x:c r="D8" s="42" t="n">
        <x:v>136</x:v>
      </x:c>
      <x:c r="E8" s="53" t="n">
        <x:v>2600000</x:v>
      </x:c>
      <x:c r="F8" s="53" t="n">
        <x:v>2100000</x:v>
      </x:c>
    </x:row>
    <x:row r="9" ht="15" hidden="0" customHeight="1">
      <x:c r="A9" s="42" t="str">
        <x:v>Avery Morgan</x:v>
      </x:c>
      <x:c r="B9" s="42" t="str">
        <x:v>Central</x:v>
      </x:c>
      <x:c r="C9" s="42" t="str">
        <x:v>Commercial</x:v>
      </x:c>
      <x:c r="D9" s="42" t="n">
        <x:v>121</x:v>
      </x:c>
      <x:c r="E9" s="53" t="n">
        <x:v>2200000</x:v>
      </x:c>
      <x:c r="F9" s="53" t="n">
        <x:v>1900000</x:v>
      </x:c>
    </x:row>
    <x:row r="10" ht="15" hidden="0" customHeight="1">
      <x:c r="A10" s="44" t="str">
        <x:v>TOTAL</x:v>
      </x:c>
      <x:c r="B10" s="44" t="str"/>
      <x:c r="C10" s="44" t="str"/>
      <x:c r="D10" s="44" t="n">
        <x:f>SUM(D4:D9)</x:f>
        <x:v>572</x:v>
      </x:c>
      <x:c r="E10" s="54" t="n">
        <x:f>SUM(E4:E9)</x:f>
        <x:v>28100000</x:v>
      </x:c>
      <x:c r="F10" s="54" t="n">
        <x:f>SUM(F4:F9)</x:f>
        <x:v>21100000</x:v>
      </x:c>
    </x:row>
    <x:row r="11" ht="15" hidden="0" customHeight="1">
      <x:c r="A11" s="9"/>
      <x:c r="B11" s="9"/>
      <x:c r="C11" s="9"/>
      <x:c r="D11" s="9"/>
      <x:c r="E11" s="9"/>
      <x:c r="F11" s="9"/>
    </x:row>
    <x:row r="12" ht="15" hidden="0" customHeight="1">
      <x:c r="A12" s="9"/>
      <x:c r="B12" s="9"/>
      <x:c r="C12" s="9"/>
      <x:c r="D12" s="9"/>
      <x:c r="E12" s="9"/>
      <x:c r="F12" s="9"/>
    </x:row>
    <x:row r="13" ht="15" hidden="0" customHeight="1">
      <x:c r="A13" s="46" t="str">
        <x:v>SELLER</x:v>
      </x:c>
      <x:c r="B13" s="46" t="str">
        <x:v>POTENTIAL SHARE</x:v>
      </x:c>
      <x:c r="C13" s="46" t="str">
        <x:v>CAPACITY SHARE</x:v>
      </x:c>
      <x:c r="D13" s="46" t="str">
        <x:v>LOAD INDEX</x:v>
      </x:c>
      <x:c r="E13" s="46" t="str">
        <x:v>IMBALANCE</x:v>
      </x:c>
      <x:c r="F13" s="46" t="str">
        <x:v>ACTION</x:v>
      </x:c>
    </x:row>
    <x:row r="14" ht="15" hidden="0" customHeight="1">
      <x:c r="A14" s="42" t="str">
        <x:v>Maya Chen</x:v>
      </x:c>
      <x:c r="B14" s="55" t="n">
        <x:f>E4/$E$10</x:f>
        <x:v>0.298932384341637</x:v>
      </x:c>
      <x:c r="C14" s="55" t="n">
        <x:f>F4/$F$10</x:f>
        <x:v>0.24644549763033174</x:v>
      </x:c>
      <x:c r="D14" s="55" t="n">
        <x:f>B14/C14</x:f>
        <x:v>1.212975636463181</x:v>
      </x:c>
      <x:c r="E14" s="55" t="n">
        <x:f>ABS(D14-1)</x:f>
        <x:v>0.21297563646318096</x:v>
      </x:c>
      <x:c r="F14" s="56" t="str">
        <x:f>IF(E14&gt;'Inputs'!$B$7,"REBALANCE","KEEP")</x:f>
        <x:v>REBALANCE</x:v>
      </x:c>
    </x:row>
    <x:row r="15" ht="15" hidden="0" customHeight="1">
      <x:c r="A15" s="42" t="str">
        <x:v>Sam Rivera</x:v>
      </x:c>
      <x:c r="B15" s="55" t="n">
        <x:f>E5/$E$10</x:f>
        <x:v>0.24555160142348753</x:v>
      </x:c>
      <x:c r="C15" s="55" t="n">
        <x:f>F5/$F$10</x:f>
        <x:v>0.22748815165876776</x:v>
      </x:c>
      <x:c r="D15" s="55" t="n">
        <x:f>B15/C15</x:f>
        <x:v>1.0794039145907472</x:v>
      </x:c>
      <x:c r="E15" s="55" t="n">
        <x:f>ABS(D15-1)</x:f>
        <x:v>0.07940391459074725</x:v>
      </x:c>
      <x:c r="F15" s="56" t="str">
        <x:f>IF(E15&gt;'Inputs'!$B$7,"REBALANCE","KEEP")</x:f>
        <x:v>KEEP</x:v>
      </x:c>
    </x:row>
    <x:row r="16" ht="15" hidden="0" customHeight="1">
      <x:c r="A16" s="42" t="str">
        <x:v>Jordan Lee</x:v>
      </x:c>
      <x:c r="B16" s="55" t="n">
        <x:f>E6/$E$10</x:f>
        <x:v>0.14590747330960854</x:v>
      </x:c>
      <x:c r="C16" s="55" t="n">
        <x:f>F6/$F$10</x:f>
        <x:v>0.17061611374407584</x:v>
      </x:c>
      <x:c r="D16" s="55" t="n">
        <x:f>B16/C16</x:f>
        <x:v>0.8551799130090945</x:v>
      </x:c>
      <x:c r="E16" s="55" t="n">
        <x:f>ABS(D16-1)</x:f>
        <x:v>0.14482008699090554</x:v>
      </x:c>
      <x:c r="F16" s="56" t="str">
        <x:f>IF(E16&gt;'Inputs'!$B$7,"REBALANCE","KEEP")</x:f>
        <x:v>KEEP</x:v>
      </x:c>
    </x:row>
    <x:row r="17" ht="15" hidden="0" customHeight="1">
      <x:c r="A17" s="42" t="str">
        <x:v>Nia Patel</x:v>
      </x:c>
      <x:c r="B17" s="55" t="n">
        <x:f>E7/$E$10</x:f>
        <x:v>0.1387900355871886</x:v>
      </x:c>
      <x:c r="C17" s="55" t="n">
        <x:f>F7/$F$10</x:f>
        <x:v>0.16587677725118483</x:v>
      </x:c>
      <x:c r="D17" s="55" t="n">
        <x:f>B17/C17</x:f>
        <x:v>0.8367056431113371</x:v>
      </x:c>
      <x:c r="E17" s="55" t="n">
        <x:f>ABS(D17-1)</x:f>
        <x:v>0.1632943568886629</x:v>
      </x:c>
      <x:c r="F17" s="56" t="str">
        <x:f>IF(E17&gt;'Inputs'!$B$7,"REBALANCE","KEEP")</x:f>
        <x:v>REBALANCE</x:v>
      </x:c>
    </x:row>
    <x:row r="18" ht="15" hidden="0" customHeight="1">
      <x:c r="A18" s="42" t="str">
        <x:v>Theo Brooks</x:v>
      </x:c>
      <x:c r="B18" s="55" t="n">
        <x:f>E8/$E$10</x:f>
        <x:v>0.09252669039145907</x:v>
      </x:c>
      <x:c r="C18" s="55" t="n">
        <x:f>F8/$F$10</x:f>
        <x:v>0.0995260663507109</x:v>
      </x:c>
      <x:c r="D18" s="55" t="n">
        <x:f>B18/C18</x:f>
        <x:v>0.9296729367903744</x:v>
      </x:c>
      <x:c r="E18" s="55" t="n">
        <x:f>ABS(D18-1)</x:f>
        <x:v>0.07032706320962556</x:v>
      </x:c>
      <x:c r="F18" s="56" t="str">
        <x:f>IF(E18&gt;'Inputs'!$B$7,"REBALANCE","KEEP")</x:f>
        <x:v>KEEP</x:v>
      </x:c>
    </x:row>
    <x:row r="19" ht="15" hidden="0" customHeight="1">
      <x:c r="A19" s="44" t="str">
        <x:v>Avery Morgan</x:v>
      </x:c>
      <x:c r="B19" s="57" t="n">
        <x:f>E9/$E$10</x:f>
        <x:v>0.07829181494661921</x:v>
      </x:c>
      <x:c r="C19" s="57" t="n">
        <x:f>F9/$F$10</x:f>
        <x:v>0.09004739336492891</x:v>
      </x:c>
      <x:c r="D19" s="57" t="n">
        <x:f>B19/C19</x:f>
        <x:v>0.8694512080914029</x:v>
      </x:c>
      <x:c r="E19" s="57" t="n">
        <x:f>ABS(D19-1)</x:f>
        <x:v>0.13054879190859714</x:v>
      </x:c>
      <x:c r="F19" s="58" t="str">
        <x:f>IF(E19&gt;'Inputs'!$B$7,"REBALANCE","KEEP")</x:f>
        <x:v>KEEP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40" t="str">
        <x:v>Territory Planning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Optimization weights</x:v>
      </x:c>
      <x:c r="B3" s="61" t="n">
        <x:f>SUM(Inputs!B3:B6)</x:f>
        <x:v>1</x:v>
      </x:c>
      <x:c r="C3" s="62" t="str">
        <x:f>IF(ABS(B3-1)&lt;0.0001,"PASS","FAIL")</x:f>
        <x:v>PASS</x:v>
      </x:c>
      <x:c r="D3" s="9" t="str">
        <x:v>RevOps</x:v>
      </x:c>
      <x:c r="E3" s="9" t="str">
        <x:v>Weights must equal 100%</x:v>
      </x:c>
    </x:row>
    <x:row r="4" ht="15" hidden="0" customHeight="1">
      <x:c r="A4" s="9" t="str">
        <x:v>Territories outside threshold</x:v>
      </x:c>
      <x:c r="B4" s="61" t="n">
        <x:f>COUNTIF(Model!F14:F19,"REBALANCE")</x:f>
        <x:v>2</x:v>
      </x:c>
      <x:c r="C4" s="62" t="str">
        <x:f>IF(B4=0,"PASS","REBALANCE")</x:f>
        <x:v>REBALANCE</x:v>
      </x:c>
      <x:c r="D4" s="9" t="str">
        <x:v>Sales leadership</x:v>
      </x:c>
      <x:c r="E4" s="9" t="str">
        <x:v>Load imbalance exceptions</x:v>
      </x:c>
    </x:row>
    <x:row r="5" ht="15" hidden="0" customHeight="1">
      <x:c r="A5" s="9" t="str">
        <x:v>Total potential</x:v>
      </x:c>
      <x:c r="B5" s="61" t="n">
        <x:f>Model!E10</x:f>
        <x:v>28100000</x:v>
      </x:c>
      <x:c r="C5" s="62" t="str">
        <x:v>OUTPUT</x:v>
      </x:c>
      <x:c r="D5" s="9" t="str">
        <x:v>Bookings + Quota</x:v>
      </x:c>
      <x:c r="E5" s="9" t="str">
        <x:v>Market opportunity</x:v>
      </x:c>
    </x:row>
    <x:row r="6" ht="21.600000381469727" hidden="0" customHeight="1">
      <x:c r="A6" s="9" t="str">
        <x:v>Assignment policy</x:v>
      </x:c>
      <x:c r="B6" s="61" t="str">
        <x:v>Named + region + capacity</x:v>
      </x:c>
      <x:c r="C6" s="62" t="str">
        <x:v>PASS</x:v>
      </x:c>
      <x:c r="D6" s="9" t="str">
        <x:v>Salesforce Admin</x:v>
      </x:c>
      <x:c r="E6" s="9" t="str">
        <x:v>Guardrails precede optimization</x:v>
      </x:c>
    </x:row>
  </x:sheetData>
  <x:mergeCells>
    <x:mergeCell ref="A1:E1"/>
  </x:mergeCells>
  <x:pageMargins left="0.7" right="0.7" top="0.75" bottom="0.75" header="0.3" footer="0.3"/>
</x:worksheet>
</file>