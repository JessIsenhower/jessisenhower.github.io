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f6efea23d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921114e14154464"/>
    <x:sheet xmlns:r="http://schemas.openxmlformats.org/officeDocument/2006/relationships" name="Inputs" sheetId="2" r:id="R24ccddc821074306"/>
    <x:sheet xmlns:r="http://schemas.openxmlformats.org/officeDocument/2006/relationships" name="Model" sheetId="3" r:id="R61fab74e272347fa"/>
    <x:sheet xmlns:r="http://schemas.openxmlformats.org/officeDocument/2006/relationships" name="Checks &amp; Handoffs" sheetId="4" r:id="R028f6863bcdf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$#,##0"/>
  </x:numFmts>
  <x:fonts count="10">
    <x:font>
      <x:sz val="11"/>
      <x:name val="Carlito"/>
    </x:font>
    <x:font>
      <x:b/>
      <x:sz val="18"/>
      <x:color rgb="FFFFFFFF"/>
      <x:name val="Georgia"/>
    </x:font>
    <x:font>
      <x:sz val="10"/>
      <x:color rgb="FF203238"/>
      <x:name val="Carlito"/>
    </x:font>
    <x:font>
      <x:b/>
      <x:sz val="11"/>
      <x:color rgb="FF142C35"/>
      <x:name val="Carlito"/>
    </x:font>
    <x:font>
      <x:sz val="9"/>
      <x:color rgb="FF203238"/>
      <x:name val="Aptos"/>
    </x:font>
    <x:font>
      <x:b/>
      <x:sz val="9"/>
      <x:color rgb="FF203238"/>
      <x:name val="Aptos"/>
    </x:font>
    <x:font>
      <x:b/>
      <x:sz val="11"/>
      <x:color rgb="FF1E4C86"/>
      <x:name val="Carlito"/>
    </x:font>
    <x:font>
      <x:b/>
      <x:sz val="11"/>
      <x:color rgb="FFFFFFFF"/>
      <x:name val="Carlito"/>
    </x:font>
    <x:font>
      <x:sz val="11"/>
      <x:color rgb="FF2032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C35"/>
      </x:patternFill>
    </x:fill>
    <x:fill>
      <x:patternFill patternType="solid">
        <x:fgColor rgb="FFDCE9E5"/>
      </x:patternFill>
    </x:fill>
    <x:fill>
      <x:patternFill patternType="solid">
        <x:fgColor rgb="FF79AFA6"/>
      </x:patternFill>
    </x:fill>
    <x:fill>
      <x:patternFill patternType="solid">
        <x:fgColor rgb="FFEAF2FF"/>
      </x:patternFill>
    </x:fill>
    <x:fill>
      <x:patternFill patternType="solid">
        <x:fgColor rgb="FFEDF6F2"/>
      </x:patternFill>
    </x:fill>
    <x:fill>
      <x:patternFill patternType="solid">
        <x:fgColor rgb="FFFFF1DD"/>
      </x:patternFill>
    </x:fill>
  </x:fills>
  <x:borders count="4">
    <x:border/>
    <x:border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top style="thin">
        <x:color rgb="FFDCE4E0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6" fillId="5" borderId="2" xfId="0" applyNumberFormat="1" applyFont="1" applyFill="1" applyBorder="1"/>
    <x:xf numFmtId="0" fontId="0" fillId="0" borderId="3" xfId="0" applyNumberFormat="1" applyFont="1" applyFill="1" applyBorder="1"/>
    <x:xf numFmtId="0" fontId="6" fillId="5" borderId="3" xfId="0" applyNumberFormat="1" applyFont="1" applyFill="1" applyBorder="1"/>
    <x:xf numFmtId="200" fontId="6" fillId="5" borderId="2" xfId="0" applyNumberFormat="1" applyFont="1" applyFill="1" applyBorder="1"/>
    <x:xf numFmtId="201" fontId="6" fillId="5" borderId="2" xfId="0" applyNumberFormat="1" applyFont="1" applyFill="1" applyBorder="1"/>
    <x:xf numFmtId="201" fontId="6" fillId="5" borderId="3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8" fillId="6" borderId="2" xfId="0" applyNumberFormat="1" applyFont="1" applyFill="1" applyBorder="1"/>
    <x:xf numFmtId="201" fontId="8" fillId="6" borderId="2" xfId="0" applyNumberFormat="1" applyFont="1" applyFill="1" applyBorder="1"/>
    <x:xf numFmtId="201" fontId="8" fillId="6" borderId="3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1" fontId="5" fillId="5" borderId="2" xfId="0" applyNumberFormat="1" applyFont="1" applyFill="1" applyBorder="1"/>
    <x:xf numFmtId="200" fontId="5" fillId="5" borderId="2" xfId="0" applyNumberFormat="1" applyFont="1" applyFill="1" applyBorder="1"/>
    <x:xf numFmtId="0" fontId="4" fillId="0" borderId="3" xfId="0" applyNumberFormat="1" applyFont="1" applyFill="1" applyBorder="1"/>
    <x:xf numFmtId="201" fontId="5" fillId="5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1" fontId="5" fillId="5" borderId="2" xfId="0" applyNumberFormat="1" applyFont="1" applyFill="1" applyBorder="1" applyAlignment="1">
      <x:alignment wrapText="1"/>
    </x:xf>
    <x:xf numFmtId="200" fontId="5" fillId="5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1" fontId="5" fillId="5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1" fontId="4" fillId="0" borderId="2" xfId="0" applyNumberFormat="1" applyFont="1" applyFill="1" applyBorder="1"/>
    <x:xf numFmtId="200" fontId="4" fillId="6" borderId="2" xfId="0" applyNumberFormat="1" applyFont="1" applyFill="1" applyBorder="1"/>
    <x:xf numFmtId="201" fontId="4" fillId="6" borderId="2" xfId="0" applyNumberFormat="1" applyFont="1" applyFill="1" applyBorder="1"/>
    <x:xf numFmtId="201" fontId="4" fillId="0" borderId="3" xfId="0" applyNumberFormat="1" applyFont="1" applyFill="1" applyBorder="1"/>
    <x:xf numFmtId="0" fontId="4" fillId="6" borderId="3" xfId="0" applyNumberFormat="1" applyFont="1" applyFill="1" applyBorder="1"/>
    <x:xf numFmtId="201" fontId="4" fillId="6" borderId="3" xfId="0" applyNumberFormat="1" applyFont="1" applyFill="1" applyBorder="1"/>
    <x:xf numFmtId="201" fontId="4" fillId="0" borderId="2" xfId="0" applyNumberFormat="1" applyFont="1" applyFill="1" applyBorder="1" applyAlignment="1">
      <x:alignment wrapText="1"/>
    </x:xf>
    <x:xf numFmtId="200" fontId="4" fillId="6" borderId="2" xfId="0" applyNumberFormat="1" applyFont="1" applyFill="1" applyBorder="1" applyAlignment="1">
      <x:alignment wrapText="1"/>
    </x:xf>
    <x:xf numFmtId="201" fontId="4" fillId="6" borderId="2" xfId="0" applyNumberFormat="1" applyFont="1" applyFill="1" applyBorder="1" applyAlignment="1">
      <x:alignment wrapText="1"/>
    </x:xf>
    <x:xf numFmtId="201" fontId="4" fillId="0" borderId="3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201" fontId="4" fillId="6" borderId="3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007882bd948f5" /><Relationship Type="http://schemas.openxmlformats.org/officeDocument/2006/relationships/theme" Target="/xl/theme/theme1.xml" Id="Rbd25f0d6dde34380" /><Relationship Type="http://schemas.openxmlformats.org/officeDocument/2006/relationships/sharedStrings" Target="/xl/sharedStrings.xml" Id="Re7a460b10430452f" /><Relationship Type="http://schemas.openxmlformats.org/officeDocument/2006/relationships/worksheet" Target="/xl/worksheets/sheet1.xml" Id="R7921114e14154464" /><Relationship Type="http://schemas.openxmlformats.org/officeDocument/2006/relationships/worksheet" Target="/xl/worksheets/sheet2.xml" Id="R24ccddc821074306" /><Relationship Type="http://schemas.openxmlformats.org/officeDocument/2006/relationships/worksheet" Target="/xl/worksheets/sheet3.xml" Id="R61fab74e272347fa" /><Relationship Type="http://schemas.openxmlformats.org/officeDocument/2006/relationships/worksheet" Target="/xl/worksheets/sheet4.xml" Id="R028f6863bcdf44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.7799999713897705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" customHeight="1">
      <x:c r="A1" s="2" t="str">
        <x:v>Forecasting</x:v>
      </x:c>
    </x:row>
    <x:row r="2" ht="26" customHeight="1">
      <x:c r="A2" s="4" t="str">
        <x:v>Combine Salesforce opportunity evidence, forecast categories, and leadership judgment.</x:v>
      </x:c>
    </x:row>
    <x:row r="4">
      <x:c r="A4" s="9" t="str">
        <x:v>MODEL OWNER</x:v>
      </x:c>
      <x:c r="B4" s="9" t="str">
        <x:v>Revenue Operations</x:v>
      </x:c>
      <x:c r="C4" s="9"/>
      <x:c r="D4" s="10" t="str">
        <x:v>HOW THIS CONNECTS</x:v>
      </x:c>
      <x:c r="E4" s="10"/>
      <x:c r="F4" s="10"/>
    </x:row>
    <x:row r="5">
      <x:c r="A5" s="9" t="str">
        <x:v>DECISION</x:v>
      </x:c>
      <x:c r="B5" s="9" t="str">
        <x:v>What will close, what is at risk, and what action changes the outcome?</x:v>
      </x:c>
      <x:c r="C5" s="9"/>
      <x:c r="D5" s="9" t="str">
        <x:v>1. Reads opportunity data or CSV exports.</x:v>
      </x:c>
      <x:c r="E5" s="9"/>
      <x:c r="F5" s="9"/>
    </x:row>
    <x:row r="6">
      <x:c r="A6" s="9" t="str">
        <x:v>EDIT</x:v>
      </x:c>
      <x:c r="B6" s="9" t="str">
        <x:v>Blue cells only</x:v>
      </x:c>
      <x:c r="C6" s="9"/>
      <x:c r="D6" s="9" t="str">
        <x:v>2. Compares forecast to approved bookings plan.</x:v>
      </x:c>
      <x:c r="E6" s="9"/>
      <x:c r="F6" s="9"/>
    </x:row>
    <x:row r="7">
      <x:c r="A7" s="9" t="str">
        <x:v>FORMULAS</x:v>
      </x:c>
      <x:c r="B7" s="9" t="str">
        <x:v>Green cells</x:v>
      </x:c>
      <x:c r="C7" s="9"/>
      <x:c r="D7" s="9" t="str">
        <x:v>3. Hands forecast gap and risk exceptions to Executive View.</x:v>
      </x:c>
      <x:c r="E7" s="9"/>
      <x:c r="F7" s="9"/>
    </x:row>
    <x:row r="8">
      <x:c r="A8" s="9" t="str">
        <x:v>STATUS</x:v>
      </x:c>
      <x:c r="B8" s="9" t="str">
        <x:v>Synthetic sample assumptions</x:v>
      </x:c>
      <x:c r="C8" s="9"/>
      <x:c r="D8" s="9"/>
      <x:c r="E8" s="9"/>
      <x:c r="F8" s="9"/>
    </x:row>
    <x:row r="9">
      <x:c r="A9" s="9" t="str">
        <x:v>REFRESH</x:v>
      </x:c>
      <x:c r="B9" s="9" t="str">
        <x:v>Update inputs, review checks, approve handoff</x:v>
      </x:c>
      <x:c r="C9" s="9"/>
      <x:c r="D9" s="9"/>
      <x:c r="E9" s="9"/>
      <x:c r="F9" s="9"/>
    </x:row>
    <x:row r="10">
      <x:c r="A10" s="9" t="str">
        <x:v>WEB PAIRING</x:v>
      </x:c>
      <x:c r="B10" s="9" t="str">
        <x:v>Coherence interactive model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0" t="str">
        <x:v>LEARNING GUIDE</x:v>
      </x:c>
      <x:c r="B13" s="10"/>
      <x:c r="C13" s="10"/>
      <x:c r="D13" s="10"/>
      <x:c r="E13" s="10"/>
      <x:c r="F13" s="10"/>
    </x:row>
    <x:row r="14">
      <x:c r="A14" s="9" t="str">
        <x:v>1</x:v>
      </x:c>
      <x:c r="B14" s="9" t="str">
        <x:v>Read the decision and handoffs before changing numbers</x:v>
      </x:c>
      <x:c r="C14" s="9" t="str"/>
      <x:c r="D14" s="9" t="str"/>
      <x:c r="E14" s="9" t="str"/>
      <x:c r="F14" s="9" t="str"/>
    </x:row>
    <x:row r="15">
      <x:c r="A15" s="9" t="str">
        <x:v>2</x:v>
      </x:c>
      <x:c r="B15" s="9" t="str">
        <x:v>Change one blue assumption at a time and observe formulas</x:v>
      </x:c>
      <x:c r="C15" s="9" t="str"/>
      <x:c r="D15" s="9" t="str"/>
      <x:c r="E15" s="9" t="str"/>
      <x:c r="F15" s="9" t="str"/>
    </x:row>
    <x:row r="16">
      <x:c r="A16" s="9" t="str">
        <x:v>3</x:v>
      </x:c>
      <x:c r="B16" s="9" t="str">
        <x:v>Trace every headline metric back to a visible formula</x:v>
      </x:c>
      <x:c r="C16" s="9" t="str"/>
      <x:c r="D16" s="9" t="str"/>
      <x:c r="E16" s="9" t="str"/>
      <x:c r="F16" s="9" t="str"/>
    </x:row>
    <x:row r="17">
      <x:c r="A17" s="9" t="str">
        <x:v>4</x:v>
      </x:c>
      <x:c r="B17" s="9" t="str">
        <x:v>Resolve failed checks before approving the model</x:v>
      </x:c>
      <x:c r="C17" s="9" t="str"/>
      <x:c r="D17" s="9" t="str"/>
      <x:c r="E17" s="9" t="str"/>
      <x:c r="F17" s="9" t="str"/>
    </x:row>
    <x:row r="18">
      <x:c r="A18" s="9" t="str">
        <x:v>5</x:v>
      </x:c>
      <x:c r="B18" s="9" t="str">
        <x:v>Document company-specific policy instead of hiding it in formulas</x:v>
      </x:c>
      <x:c r="C18" s="9" t="str"/>
      <x:c r="D18" s="9" t="str"/>
      <x:c r="E18" s="9" t="str"/>
      <x:c r="F18" s="9" t="str"/>
    </x:row>
  </x:sheetData>
  <x:mergeCells>
    <x:mergeCell ref="A1:F1"/>
    <x:mergeCell ref="A2:F2"/>
    <x:mergeCell ref="D4:F4"/>
    <x:mergeCell ref="D5:F5"/>
    <x:mergeCell ref="D6:F6"/>
    <x:mergeCell ref="D7:F7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2.779999732971191" hidden="0" customWidth="1"/>
    <x:col min="4" max="4" width="36.66999816894531" hidden="0" customWidth="1"/>
  </x:cols>
  <x:sheetData>
    <x:row r="1" ht="15" hidden="0" customHeight="1">
      <x:c r="A1" s="43" t="str">
        <x:v>Forecasting | Inputs</x:v>
      </x:c>
      <x:c r="B1" s="9"/>
      <x:c r="C1" s="9"/>
      <x:c r="D1" s="9"/>
    </x:row>
    <x:row r="2" ht="15" hidden="0" customHeight="1">
      <x:c r="A2" s="44" t="str">
        <x:v>ASSUMPTION</x:v>
      </x:c>
      <x:c r="B2" s="44" t="str">
        <x:v>VALUE</x:v>
      </x:c>
      <x:c r="C2" s="44" t="str">
        <x:v>UNIT / TYPE</x:v>
      </x:c>
      <x:c r="D2" s="44" t="str">
        <x:v>WHY IT MATTERS</x:v>
      </x:c>
    </x:row>
    <x:row r="3" ht="15" hidden="0" customHeight="1">
      <x:c r="A3" s="45" t="str">
        <x:v>Quarter bookings plan</x:v>
      </x:c>
      <x:c r="B3" s="46" t="n">
        <x:v>6000000</x:v>
      </x:c>
      <x:c r="C3" s="45" t="str">
        <x:v>Currency</x:v>
      </x:c>
      <x:c r="D3" s="45" t="str">
        <x:v>Approved plan</x:v>
      </x:c>
    </x:row>
    <x:row r="4" ht="15" hidden="0" customHeight="1">
      <x:c r="A4" s="45" t="str">
        <x:v>Pipeline category weight</x:v>
      </x:c>
      <x:c r="B4" s="47" t="n">
        <x:v>0.15</x:v>
      </x:c>
      <x:c r="C4" s="45" t="str">
        <x:v>Percent</x:v>
      </x:c>
      <x:c r="D4" s="45" t="str">
        <x:v>Evidence-based weighting</x:v>
      </x:c>
    </x:row>
    <x:row r="5" ht="15" hidden="0" customHeight="1">
      <x:c r="A5" s="45" t="str">
        <x:v>Best Case weight</x:v>
      </x:c>
      <x:c r="B5" s="47" t="n">
        <x:v>0.5</x:v>
      </x:c>
      <x:c r="C5" s="45" t="str">
        <x:v>Percent</x:v>
      </x:c>
      <x:c r="D5" s="45" t="str">
        <x:v>Evidence-based weighting</x:v>
      </x:c>
    </x:row>
    <x:row r="6" ht="15" hidden="0" customHeight="1">
      <x:c r="A6" s="45" t="str">
        <x:v>Commit weight</x:v>
      </x:c>
      <x:c r="B6" s="47" t="n">
        <x:v>0.85</x:v>
      </x:c>
      <x:c r="C6" s="45" t="str">
        <x:v>Percent</x:v>
      </x:c>
      <x:c r="D6" s="45" t="str">
        <x:v>Evidence-based weighting</x:v>
      </x:c>
    </x:row>
    <x:row r="7" ht="15" hidden="0" customHeight="1">
      <x:c r="A7" s="48" t="str">
        <x:v>Leadership adjustment</x:v>
      </x:c>
      <x:c r="B7" s="49" t="n">
        <x:v>150000</x:v>
      </x:c>
      <x:c r="C7" s="48" t="str">
        <x:v>Currency</x:v>
      </x:c>
      <x:c r="D7" s="48" t="str">
        <x:v>Documented judgment overlay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8.889999389648438" hidden="0" customWidth="1"/>
    <x:col min="6" max="6" width="33.33000183105469" hidden="0" customWidth="1"/>
  </x:cols>
  <x:sheetData>
    <x:row r="1" ht="15" hidden="0" customHeight="1">
      <x:c r="A1" s="43" t="str">
        <x:v>Forecasting | Calculation Model</x:v>
      </x:c>
      <x:c r="B1" s="9"/>
      <x:c r="C1" s="9"/>
      <x:c r="D1" s="9"/>
      <x:c r="E1" s="9"/>
      <x:c r="F1" s="9"/>
    </x:row>
    <x:row r="2" ht="15" hidden="0" customHeight="1">
      <x:c r="A2" s="9"/>
      <x:c r="B2" s="9"/>
      <x:c r="C2" s="9"/>
      <x:c r="D2" s="9"/>
      <x:c r="E2" s="9"/>
      <x:c r="F2" s="9"/>
    </x:row>
    <x:row r="3" ht="15" hidden="0" customHeight="1">
      <x:c r="A3" s="50" t="str">
        <x:v>OPPORTUNITY</x:v>
      </x:c>
      <x:c r="B3" s="50" t="str">
        <x:v>STAGE</x:v>
      </x:c>
      <x:c r="C3" s="50" t="str">
        <x:v>CATEGORY</x:v>
      </x:c>
      <x:c r="D3" s="50" t="str">
        <x:v>AMOUNT</x:v>
      </x:c>
      <x:c r="E3" s="50" t="str">
        <x:v>WEIGHT</x:v>
      </x:c>
      <x:c r="F3" s="50" t="str">
        <x:v>WEIGHTED FORECAST</x:v>
      </x:c>
    </x:row>
    <x:row r="4" ht="15" hidden="0" customHeight="1">
      <x:c r="A4" s="45" t="str">
        <x:v>Aperture Systems</x:v>
      </x:c>
      <x:c r="B4" s="45" t="str">
        <x:v>Qualification</x:v>
      </x:c>
      <x:c r="C4" s="45" t="str">
        <x:v>Pipeline</x:v>
      </x:c>
      <x:c r="D4" s="57" t="n">
        <x:v>450000</x:v>
      </x:c>
      <x:c r="E4" s="58" t="n">
        <x:f>'Inputs'!$B$4</x:f>
        <x:v>0.15</x:v>
      </x:c>
      <x:c r="F4" s="59" t="n">
        <x:f>D4*E4</x:f>
        <x:v>67500</x:v>
      </x:c>
    </x:row>
    <x:row r="5" ht="15" hidden="0" customHeight="1">
      <x:c r="A5" s="45" t="str">
        <x:v>Northstar Health</x:v>
      </x:c>
      <x:c r="B5" s="45" t="str">
        <x:v>Proposal / Price Quote</x:v>
      </x:c>
      <x:c r="C5" s="45" t="str">
        <x:v>Best Case</x:v>
      </x:c>
      <x:c r="D5" s="57" t="n">
        <x:v>720000</x:v>
      </x:c>
      <x:c r="E5" s="58" t="n">
        <x:f>'Inputs'!$B$5</x:f>
        <x:v>0.5</x:v>
      </x:c>
      <x:c r="F5" s="59" t="n">
        <x:f>D5*E5</x:f>
        <x:v>360000</x:v>
      </x:c>
    </x:row>
    <x:row r="6" ht="15" hidden="0" customHeight="1">
      <x:c r="A6" s="45" t="str">
        <x:v>Forma Labs Expansion</x:v>
      </x:c>
      <x:c r="B6" s="45" t="str">
        <x:v>Negotiation / Review</x:v>
      </x:c>
      <x:c r="C6" s="45" t="str">
        <x:v>Commit</x:v>
      </x:c>
      <x:c r="D6" s="57" t="n">
        <x:v>185000</x:v>
      </x:c>
      <x:c r="E6" s="58" t="n">
        <x:f>'Inputs'!$B$6</x:f>
        <x:v>0.85</x:v>
      </x:c>
      <x:c r="F6" s="59" t="n">
        <x:f>D6*E6</x:f>
        <x:v>157250</x:v>
      </x:c>
    </x:row>
    <x:row r="7" ht="15" hidden="0" customHeight="1">
      <x:c r="A7" s="45" t="str">
        <x:v>Atlas Works</x:v>
      </x:c>
      <x:c r="B7" s="45" t="str">
        <x:v>Closed Won</x:v>
      </x:c>
      <x:c r="C7" s="45" t="str">
        <x:v>Closed</x:v>
      </x:c>
      <x:c r="D7" s="57" t="n">
        <x:v>960000</x:v>
      </x:c>
      <x:c r="E7" s="58" t="n">
        <x:v>1</x:v>
      </x:c>
      <x:c r="F7" s="59" t="n">
        <x:f>D7*E7</x:f>
        <x:v>960000</x:v>
      </x:c>
    </x:row>
    <x:row r="8" ht="15" hidden="0" customHeight="1">
      <x:c r="A8" s="45" t="str">
        <x:v>Kestrel Group</x:v>
      </x:c>
      <x:c r="B8" s="45" t="str">
        <x:v>Discovery</x:v>
      </x:c>
      <x:c r="C8" s="45" t="str">
        <x:v>Pipeline</x:v>
      </x:c>
      <x:c r="D8" s="57" t="n">
        <x:v>880000</x:v>
      </x:c>
      <x:c r="E8" s="58" t="n">
        <x:f>'Inputs'!$B$4</x:f>
        <x:v>0.15</x:v>
      </x:c>
      <x:c r="F8" s="59" t="n">
        <x:f>D8*E8</x:f>
        <x:v>132000</x:v>
      </x:c>
    </x:row>
    <x:row r="9" ht="15" hidden="0" customHeight="1">
      <x:c r="A9" s="45" t="str">
        <x:v>Beacon Logistics</x:v>
      </x:c>
      <x:c r="B9" s="45" t="str">
        <x:v>Negotiation / Review</x:v>
      </x:c>
      <x:c r="C9" s="45" t="str">
        <x:v>Commit</x:v>
      </x:c>
      <x:c r="D9" s="57" t="n">
        <x:v>1240000</x:v>
      </x:c>
      <x:c r="E9" s="58" t="n">
        <x:f>'Inputs'!$B$6</x:f>
        <x:v>0.85</x:v>
      </x:c>
      <x:c r="F9" s="59" t="n">
        <x:f>D9*E9</x:f>
        <x:v>1054000</x:v>
      </x:c>
    </x:row>
    <x:row r="10" ht="15" hidden="0" customHeight="1">
      <x:c r="A10" s="45" t="str">
        <x:v>Praxis Financial</x:v>
      </x:c>
      <x:c r="B10" s="45" t="str">
        <x:v>Closed Won</x:v>
      </x:c>
      <x:c r="C10" s="45" t="str">
        <x:v>Closed</x:v>
      </x:c>
      <x:c r="D10" s="57" t="n">
        <x:v>1100000</x:v>
      </x:c>
      <x:c r="E10" s="58" t="n">
        <x:v>1</x:v>
      </x:c>
      <x:c r="F10" s="59" t="n">
        <x:f>D10*E10</x:f>
        <x:v>1100000</x:v>
      </x:c>
    </x:row>
    <x:row r="11" ht="15" hidden="0" customHeight="1">
      <x:c r="A11" s="48" t="str">
        <x:v>TOTAL</x:v>
      </x:c>
      <x:c r="B11" s="48" t="str"/>
      <x:c r="C11" s="48" t="str"/>
      <x:c r="D11" s="60" t="n">
        <x:f>SUM(D4:D10)</x:f>
        <x:v>5535000</x:v>
      </x:c>
      <x:c r="E11" s="61" t="str"/>
      <x:c r="F11" s="62" t="n">
        <x:f>SUM(F4:F10)</x:f>
        <x:v>3830750</x:v>
      </x:c>
    </x:row>
    <x:row r="12" ht="15" hidden="0" customHeight="1">
      <x:c r="A12" s="9"/>
      <x:c r="B12" s="9"/>
      <x:c r="C12" s="9"/>
      <x:c r="D12" s="9"/>
      <x:c r="E12" s="9"/>
      <x:c r="F12" s="9"/>
    </x:row>
    <x:row r="13" ht="15" hidden="0" customHeight="1">
      <x:c r="A13" s="9"/>
      <x:c r="B13" s="9"/>
      <x:c r="C13" s="9"/>
      <x:c r="D13" s="9"/>
      <x:c r="E13" s="9"/>
      <x:c r="F13" s="9"/>
    </x:row>
    <x:row r="14" ht="15" hidden="0" customHeight="1">
      <x:c r="A14" s="50" t="str">
        <x:v>FORECAST BRIDGE</x:v>
      </x:c>
      <x:c r="B14" s="50" t="str">
        <x:v>VALUE</x:v>
      </x:c>
      <x:c r="C14" s="50" t="str">
        <x:v>FORMULA / LOGIC</x:v>
      </x:c>
      <x:c r="D14" s="50" t="str"/>
      <x:c r="E14" s="50" t="str"/>
      <x:c r="F14" s="50" t="str"/>
    </x:row>
    <x:row r="15" ht="21.600000381469727" hidden="0" customHeight="1">
      <x:c r="A15" s="45" t="str">
        <x:v>Weighted opportunity forecast</x:v>
      </x:c>
      <x:c r="B15" s="59" t="n">
        <x:f>F11</x:f>
        <x:v>3830750</x:v>
      </x:c>
      <x:c r="C15" s="45" t="str">
        <x:v>Category-weighted pipeline</x:v>
      </x:c>
      <x:c r="D15" s="45" t="str"/>
      <x:c r="E15" s="45" t="str"/>
      <x:c r="F15" s="45" t="str"/>
    </x:row>
    <x:row r="16" ht="15" hidden="0" customHeight="1">
      <x:c r="A16" s="45" t="str">
        <x:v>Leadership adjustment</x:v>
      </x:c>
      <x:c r="B16" s="59" t="n">
        <x:f>'Inputs'!$B$7</x:f>
        <x:v>150000</x:v>
      </x:c>
      <x:c r="C16" s="45" t="str">
        <x:v>Documented overlay</x:v>
      </x:c>
      <x:c r="D16" s="45" t="str"/>
      <x:c r="E16" s="45" t="str"/>
      <x:c r="F16" s="45" t="str"/>
    </x:row>
    <x:row r="17" ht="15" hidden="0" customHeight="1">
      <x:c r="A17" s="45" t="str">
        <x:v>Submitted forecast</x:v>
      </x:c>
      <x:c r="B17" s="59" t="n">
        <x:f>B15+B16</x:f>
        <x:v>3980750</x:v>
      </x:c>
      <x:c r="C17" s="45" t="str">
        <x:v>Weighted + adjustment</x:v>
      </x:c>
      <x:c r="D17" s="45" t="str"/>
      <x:c r="E17" s="45" t="str"/>
      <x:c r="F17" s="45" t="str"/>
    </x:row>
    <x:row r="18" ht="15" hidden="0" customHeight="1">
      <x:c r="A18" s="45" t="str">
        <x:v>Quarter plan</x:v>
      </x:c>
      <x:c r="B18" s="59" t="n">
        <x:f>'Inputs'!$B$3</x:f>
        <x:v>6000000</x:v>
      </x:c>
      <x:c r="C18" s="45" t="str">
        <x:v>Approved plan</x:v>
      </x:c>
      <x:c r="D18" s="45" t="str"/>
      <x:c r="E18" s="45" t="str"/>
      <x:c r="F18" s="45" t="str"/>
    </x:row>
    <x:row r="19" ht="15" hidden="0" customHeight="1">
      <x:c r="A19" s="48" t="str">
        <x:v>Gap to plan</x:v>
      </x:c>
      <x:c r="B19" s="62" t="n">
        <x:f>B17-B18</x:f>
        <x:v>-2019250</x:v>
      </x:c>
      <x:c r="C19" s="48" t="str">
        <x:v>Forecast less plan</x:v>
      </x:c>
      <x:c r="D19" s="48" t="str"/>
      <x:c r="E19" s="48" t="str"/>
      <x:c r="F19" s="48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670000076293945" hidden="0" customWidth="1"/>
    <x:col min="3" max="3" width="13.329999923706055" hidden="0" customWidth="1"/>
    <x:col min="4" max="4" width="21.110000610351562" hidden="0" customWidth="1"/>
    <x:col min="5" max="5" width="36.66999816894531" hidden="0" customWidth="1"/>
  </x:cols>
  <x:sheetData>
    <x:row r="1" ht="15" hidden="0" customHeight="1">
      <x:c r="A1" s="43" t="str">
        <x:v>Forecasting | Checks &amp; Handoffs</x:v>
      </x:c>
      <x:c r="B1" s="9"/>
      <x:c r="C1" s="9"/>
      <x:c r="D1" s="9"/>
      <x:c r="E1" s="9"/>
    </x:row>
    <x:row r="2" ht="15" hidden="0" customHeight="1">
      <x:c r="A2" s="9" t="str">
        <x:v>CONTROL / OUTPUT</x:v>
      </x:c>
      <x:c r="B2" s="9" t="str">
        <x:v>VALUE</x:v>
      </x:c>
      <x:c r="C2" s="9" t="str">
        <x:v>STATUS</x:v>
      </x:c>
      <x:c r="D2" s="9" t="str">
        <x:v>OWNER / RECEIVER</x:v>
      </x:c>
      <x:c r="E2" s="9" t="str">
        <x:v>WHY IT MATTERS</x:v>
      </x:c>
    </x:row>
    <x:row r="3" ht="15" hidden="0" customHeight="1">
      <x:c r="A3" s="9" t="str">
        <x:v>Category weights ordered</x:v>
      </x:c>
      <x:c r="B3" s="65" t="n">
        <x:f>IF(AND(Inputs!B4&lt;Inputs!B5,Inputs!B5&lt;Inputs!B6),1,0)</x:f>
        <x:v>1</x:v>
      </x:c>
      <x:c r="C3" s="66" t="str">
        <x:f>IF(B3=1,"PASS","FAIL")</x:f>
        <x:v>PASS</x:v>
      </x:c>
      <x:c r="D3" s="9" t="str">
        <x:v>RevOps</x:v>
      </x:c>
      <x:c r="E3" s="9" t="str">
        <x:v>Prevents incoherent weighting</x:v>
      </x:c>
    </x:row>
    <x:row r="4" ht="15" hidden="0" customHeight="1">
      <x:c r="A4" s="9" t="str">
        <x:v>Submitted forecast</x:v>
      </x:c>
      <x:c r="B4" s="65" t="n">
        <x:f>Model!B17</x:f>
        <x:v>3980750</x:v>
      </x:c>
      <x:c r="C4" s="66" t="str">
        <x:v>OUTPUT</x:v>
      </x:c>
      <x:c r="D4" s="9" t="str">
        <x:v>Executive View</x:v>
      </x:c>
      <x:c r="E4" s="9" t="str">
        <x:v>Leadership call</x:v>
      </x:c>
    </x:row>
    <x:row r="5" ht="15" hidden="0" customHeight="1">
      <x:c r="A5" s="9" t="str">
        <x:v>Gap to plan</x:v>
      </x:c>
      <x:c r="B5" s="65" t="n">
        <x:f>Model!B19</x:f>
        <x:v>-2019250</x:v>
      </x:c>
      <x:c r="C5" s="66" t="str">
        <x:f>IF(B5&gt;=0,"ON PLAN","GAP")</x:f>
        <x:v>GAP</x:v>
      </x:c>
      <x:c r="D5" s="9" t="str">
        <x:v>CRO</x:v>
      </x:c>
      <x:c r="E5" s="9" t="str">
        <x:v>Actionable variance</x:v>
      </x:c>
    </x:row>
    <x:row r="6" ht="15" hidden="0" customHeight="1">
      <x:c r="A6" s="9" t="str">
        <x:v>Leadership adjustment</x:v>
      </x:c>
      <x:c r="B6" s="65" t="n">
        <x:f>Inputs!B7</x:f>
        <x:v>150000</x:v>
      </x:c>
      <x:c r="C6" s="66" t="str">
        <x:f>IF(ABS(B6)&lt;=Model!B15*0.1,"PASS","REVIEW")</x:f>
        <x:v>PASS</x:v>
      </x:c>
      <x:c r="D6" s="9" t="str">
        <x:v>CRO</x:v>
      </x:c>
      <x:c r="E6" s="9" t="str">
        <x:v>Overlay should be explained and bounded</x:v>
      </x:c>
    </x:row>
  </x:sheetData>
  <x:mergeCells>
    <x:mergeCell ref="A1:E1"/>
  </x:mergeCells>
  <x:pageMargins left="0.7" right="0.7" top="0.75" bottom="0.75" header="0.3" footer="0.3"/>
</x:worksheet>
</file>