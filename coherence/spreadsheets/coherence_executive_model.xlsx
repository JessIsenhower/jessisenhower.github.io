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d410e3e36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e23a97bebdf4bf5"/>
    <x:sheet xmlns:r="http://schemas.openxmlformats.org/officeDocument/2006/relationships" name="Inputs" sheetId="2" r:id="R3a22f476462946b7"/>
    <x:sheet xmlns:r="http://schemas.openxmlformats.org/officeDocument/2006/relationships" name="Model" sheetId="3" r:id="R8e6eacce24d24774"/>
    <x:sheet xmlns:r="http://schemas.openxmlformats.org/officeDocument/2006/relationships" name="Checks &amp; Handoffs" sheetId="4" r:id="R6e39b1152ddc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0" fontId="8" fillId="6" borderId="2" xfId="0" applyNumberFormat="1" applyFont="1" applyFill="1" applyBorder="1"/>
    <x:xf numFmtId="200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0" fontId="4" fillId="6" borderId="2" xfId="0" applyNumberFormat="1" applyFont="1" applyFill="1" applyBorder="1"/>
    <x:xf numFmtId="0" fontId="4" fillId="6" borderId="2" xfId="0" applyNumberFormat="1" applyFont="1" applyFill="1" applyBorder="1"/>
    <x:xf numFmtId="200" fontId="4" fillId="6" borderId="3" xfId="0" applyNumberFormat="1" applyFont="1" applyFill="1" applyBorder="1"/>
    <x:xf numFmtId="0" fontId="4" fillId="6" borderId="3" xfId="0" applyNumberFormat="1" applyFont="1" applyFill="1" applyBorder="1"/>
    <x:xf numFmtId="20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200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40a9c010e4672" /><Relationship Type="http://schemas.openxmlformats.org/officeDocument/2006/relationships/theme" Target="/xl/theme/theme1.xml" Id="R4fdaf7e8a9454f2d" /><Relationship Type="http://schemas.openxmlformats.org/officeDocument/2006/relationships/sharedStrings" Target="/xl/sharedStrings.xml" Id="R4540d8d5562144a4" /><Relationship Type="http://schemas.openxmlformats.org/officeDocument/2006/relationships/worksheet" Target="/xl/worksheets/sheet1.xml" Id="R5e23a97bebdf4bf5" /><Relationship Type="http://schemas.openxmlformats.org/officeDocument/2006/relationships/worksheet" Target="/xl/worksheets/sheet2.xml" Id="R3a22f476462946b7" /><Relationship Type="http://schemas.openxmlformats.org/officeDocument/2006/relationships/worksheet" Target="/xl/worksheets/sheet3.xml" Id="R8e6eacce24d24774" /><Relationship Type="http://schemas.openxmlformats.org/officeDocument/2006/relationships/worksheet" Target="/xl/worksheets/sheet4.xml" Id="R6e39b1152ddc48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Plan vs. Actual Executive View</x:v>
      </x:c>
    </x:row>
    <x:row r="2" ht="26" customHeight="1">
      <x:c r="A2" s="4" t="str">
        <x:v>Connect plan, pipeline, forecast, capacity, and marketing into owned decisions.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Where is the operating plan off track, why, and who acts next?</x:v>
      </x:c>
      <x:c r="C5" s="9"/>
      <x:c r="D5" s="9" t="str">
        <x:v>1. Consumes approved outputs from every planning model.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Shows variance without replacing functional detail.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Turns model gaps into a short list of owners and decisions.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38" t="str">
        <x:v>Plan vs. Actual Executive View | Inputs</x:v>
      </x:c>
      <x:c r="B1" s="9"/>
      <x:c r="C1" s="9"/>
      <x:c r="D1" s="9"/>
    </x:row>
    <x:row r="2" ht="15" hidden="0" customHeight="1">
      <x:c r="A2" s="39" t="str">
        <x:v>ASSUMPTION</x:v>
      </x:c>
      <x:c r="B2" s="39" t="str">
        <x:v>VALUE</x:v>
      </x:c>
      <x:c r="C2" s="39" t="str">
        <x:v>UNIT / TYPE</x:v>
      </x:c>
      <x:c r="D2" s="39" t="str">
        <x:v>WHY IT MATTERS</x:v>
      </x:c>
    </x:row>
    <x:row r="3" ht="15" hidden="0" customHeight="1">
      <x:c r="A3" s="40" t="str">
        <x:v>Annual bookings plan</x:v>
      </x:c>
      <x:c r="B3" s="41" t="n">
        <x:v>24000000</x:v>
      </x:c>
      <x:c r="C3" s="40" t="str">
        <x:v>Currency</x:v>
      </x:c>
      <x:c r="D3" s="40" t="str">
        <x:v>Bookings Plan</x:v>
      </x:c>
    </x:row>
    <x:row r="4" ht="15" hidden="0" customHeight="1">
      <x:c r="A4" s="40" t="str">
        <x:v>YTD bookings actual</x:v>
      </x:c>
      <x:c r="B4" s="41" t="n">
        <x:v>8600000</x:v>
      </x:c>
      <x:c r="C4" s="40" t="str">
        <x:v>Currency</x:v>
      </x:c>
      <x:c r="D4" s="40" t="str">
        <x:v>Salesforce actuals</x:v>
      </x:c>
    </x:row>
    <x:row r="5" ht="15" hidden="0" customHeight="1">
      <x:c r="A5" s="40" t="str">
        <x:v>Full-year forecast</x:v>
      </x:c>
      <x:c r="B5" s="41" t="n">
        <x:v>19700000</x:v>
      </x:c>
      <x:c r="C5" s="40" t="str">
        <x:v>Currency</x:v>
      </x:c>
      <x:c r="D5" s="40" t="str">
        <x:v>Forecasting</x:v>
      </x:c>
    </x:row>
    <x:row r="6" ht="15" hidden="0" customHeight="1">
      <x:c r="A6" s="40" t="str">
        <x:v>Required pipeline</x:v>
      </x:c>
      <x:c r="B6" s="41" t="n">
        <x:v>100000000</x:v>
      </x:c>
      <x:c r="C6" s="40" t="str">
        <x:v>Currency</x:v>
      </x:c>
      <x:c r="D6" s="40" t="str">
        <x:v>Pipeline Plan</x:v>
      </x:c>
    </x:row>
    <x:row r="7" ht="15" hidden="0" customHeight="1">
      <x:c r="A7" s="40" t="str">
        <x:v>Current qualified pipeline</x:v>
      </x:c>
      <x:c r="B7" s="41" t="n">
        <x:v>51000000</x:v>
      </x:c>
      <x:c r="C7" s="40" t="str">
        <x:v>Currency</x:v>
      </x:c>
      <x:c r="D7" s="40" t="str">
        <x:v>Pipeline Plan</x:v>
      </x:c>
    </x:row>
    <x:row r="8" ht="15" hidden="0" customHeight="1">
      <x:c r="A8" s="40" t="str">
        <x:v>Seller bookings target</x:v>
      </x:c>
      <x:c r="B8" s="41" t="n">
        <x:v>18000000</x:v>
      </x:c>
      <x:c r="C8" s="40" t="str">
        <x:v>Currency</x:v>
      </x:c>
      <x:c r="D8" s="40" t="str">
        <x:v>Bookings Plan</x:v>
      </x:c>
    </x:row>
    <x:row r="9" ht="15" hidden="0" customHeight="1">
      <x:c r="A9" s="40" t="str">
        <x:v>Attrition-adjusted capacity</x:v>
      </x:c>
      <x:c r="B9" s="41" t="n">
        <x:v>17300000</x:v>
      </x:c>
      <x:c r="C9" s="40" t="str">
        <x:v>Currency</x:v>
      </x:c>
      <x:c r="D9" s="40" t="str">
        <x:v>Capacity</x:v>
      </x:c>
    </x:row>
    <x:row r="10" ht="15" hidden="0" customHeight="1">
      <x:c r="A10" s="40" t="str">
        <x:v>Marketing pipeline commitment</x:v>
      </x:c>
      <x:c r="B10" s="41" t="n">
        <x:v>30000000</x:v>
      </x:c>
      <x:c r="C10" s="40" t="str">
        <x:v>Currency</x:v>
      </x:c>
      <x:c r="D10" s="40" t="str">
        <x:v>Marketing</x:v>
      </x:c>
    </x:row>
    <x:row r="11" ht="15" hidden="0" customHeight="1">
      <x:c r="A11" s="42" t="str">
        <x:v>Marketing pipeline actual</x:v>
      </x:c>
      <x:c r="B11" s="43" t="n">
        <x:v>22400000</x:v>
      </x:c>
      <x:c r="C11" s="42" t="str">
        <x:v>Currency</x:v>
      </x:c>
      <x:c r="D11" s="42" t="str">
        <x:v>Marketing actuals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38" t="str">
        <x:v>Plan vs. Actual Executive View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21.600000381469727" hidden="0" customHeight="1">
      <x:c r="A3" s="44" t="str">
        <x:v>KPI</x:v>
      </x:c>
      <x:c r="B3" s="44" t="str">
        <x:v>PLAN / REQUIREMENT</x:v>
      </x:c>
      <x:c r="C3" s="44" t="str">
        <x:v>ACTUAL / FORECAST</x:v>
      </x:c>
      <x:c r="D3" s="44" t="str">
        <x:v>VARIANCE</x:v>
      </x:c>
      <x:c r="E3" s="44" t="str">
        <x:v>STATUS</x:v>
      </x:c>
      <x:c r="F3" s="44" t="str">
        <x:v>OWNER</x:v>
      </x:c>
    </x:row>
    <x:row r="4" ht="15" hidden="0" customHeight="1">
      <x:c r="A4" s="40" t="str">
        <x:v>Bookings</x:v>
      </x:c>
      <x:c r="B4" s="49" t="n">
        <x:f>'Inputs'!$B$3</x:f>
        <x:v>24000000</x:v>
      </x:c>
      <x:c r="C4" s="49" t="n">
        <x:f>'Inputs'!$B$5</x:f>
        <x:v>19700000</x:v>
      </x:c>
      <x:c r="D4" s="49" t="n">
        <x:f>C4-B4</x:f>
        <x:v>-4300000</x:v>
      </x:c>
      <x:c r="E4" s="50" t="str">
        <x:f>IF(D4&gt;=0,"ON PLAN","GAP")</x:f>
        <x:v>GAP</x:v>
      </x:c>
      <x:c r="F4" s="40" t="str">
        <x:v>CRO</x:v>
      </x:c>
    </x:row>
    <x:row r="5" ht="15" hidden="0" customHeight="1">
      <x:c r="A5" s="40" t="str">
        <x:v>Pipeline</x:v>
      </x:c>
      <x:c r="B5" s="49" t="n">
        <x:f>'Inputs'!$B$6</x:f>
        <x:v>100000000</x:v>
      </x:c>
      <x:c r="C5" s="49" t="n">
        <x:f>'Inputs'!$B$7</x:f>
        <x:v>51000000</x:v>
      </x:c>
      <x:c r="D5" s="49" t="n">
        <x:f>C5-B5</x:f>
        <x:v>-49000000</x:v>
      </x:c>
      <x:c r="E5" s="50" t="str">
        <x:f>IF(C5/B5&gt;=0.8,"WATCH","GAP")</x:f>
        <x:v>GAP</x:v>
      </x:c>
      <x:c r="F5" s="40" t="str">
        <x:v>CMO + Sales</x:v>
      </x:c>
    </x:row>
    <x:row r="6" ht="15" hidden="0" customHeight="1">
      <x:c r="A6" s="40" t="str">
        <x:v>Seller capacity</x:v>
      </x:c>
      <x:c r="B6" s="49" t="n">
        <x:f>'Inputs'!$B$8</x:f>
        <x:v>18000000</x:v>
      </x:c>
      <x:c r="C6" s="49" t="n">
        <x:f>'Inputs'!$B$9</x:f>
        <x:v>17300000</x:v>
      </x:c>
      <x:c r="D6" s="49" t="n">
        <x:f>C6-B6</x:f>
        <x:v>-700000</x:v>
      </x:c>
      <x:c r="E6" s="50" t="str">
        <x:f>IF(D6&gt;=0,"COVERED","HIRE")</x:f>
        <x:v>HIRE</x:v>
      </x:c>
      <x:c r="F6" s="40" t="str">
        <x:v>CRO + Finance</x:v>
      </x:c>
    </x:row>
    <x:row r="7" ht="15" hidden="0" customHeight="1">
      <x:c r="A7" s="42" t="str">
        <x:v>Marketing pipeline</x:v>
      </x:c>
      <x:c r="B7" s="51" t="n">
        <x:f>'Inputs'!$B$10</x:f>
        <x:v>30000000</x:v>
      </x:c>
      <x:c r="C7" s="51" t="n">
        <x:f>'Inputs'!$B$11</x:f>
        <x:v>22400000</x:v>
      </x:c>
      <x:c r="D7" s="51" t="n">
        <x:f>C7-B7</x:f>
        <x:v>-7600000</x:v>
      </x:c>
      <x:c r="E7" s="52" t="str">
        <x:f>IF(D7&gt;=0,"ON PLAN","GAP")</x:f>
        <x:v>GAP</x:v>
      </x:c>
      <x:c r="F7" s="42" t="str">
        <x:v>CMO</x:v>
      </x:c>
    </x:row>
    <x:row r="8" ht="15" hidden="0" customHeight="1">
      <x:c r="A8" s="9"/>
      <x:c r="B8" s="9"/>
      <x:c r="C8" s="9"/>
      <x:c r="D8" s="9"/>
      <x:c r="E8" s="9"/>
      <x:c r="F8" s="9"/>
    </x:row>
    <x:row r="9" ht="15" hidden="0" customHeight="1">
      <x:c r="A9" s="9"/>
      <x:c r="B9" s="9"/>
      <x:c r="C9" s="9"/>
      <x:c r="D9" s="9"/>
      <x:c r="E9" s="9"/>
      <x:c r="F9" s="9"/>
    </x:row>
    <x:row r="10" ht="15" hidden="0" customHeight="1">
      <x:c r="A10" s="9"/>
      <x:c r="B10" s="9"/>
      <x:c r="C10" s="9"/>
      <x:c r="D10" s="9"/>
      <x:c r="E10" s="9"/>
      <x:c r="F10" s="9"/>
    </x:row>
    <x:row r="11" ht="15" hidden="0" customHeight="1">
      <x:c r="A11" s="44" t="str">
        <x:v>DECISION</x:v>
      </x:c>
      <x:c r="B11" s="44" t="str">
        <x:v>EVIDENCE</x:v>
      </x:c>
      <x:c r="C11" s="44" t="str">
        <x:v>OWNER</x:v>
      </x:c>
      <x:c r="D11" s="44" t="str">
        <x:v>DUE</x:v>
      </x:c>
      <x:c r="E11" s="44" t="str">
        <x:v>ACTION</x:v>
      </x:c>
      <x:c r="F11" s="44" t="str"/>
    </x:row>
    <x:row r="12" ht="21.600000381469727" hidden="0" customHeight="1">
      <x:c r="A12" s="40" t="str">
        <x:v>Fund pipeline recovery</x:v>
      </x:c>
      <x:c r="B12" s="50" t="str">
        <x:f>IF(D5&lt;0,"Pipeline gap: "&amp;TEXT(-D5,"$#,##0"),"No gap")</x:f>
        <x:v>Pipeline gap: $49,000,000</x:v>
      </x:c>
      <x:c r="C12" s="40" t="str">
        <x:v>CMO + CRO</x:v>
      </x:c>
      <x:c r="D12" s="40" t="str">
        <x:v>This cycle</x:v>
      </x:c>
      <x:c r="E12" s="40" t="str">
        <x:v>Reallocate demand and outbound capacity</x:v>
      </x:c>
      <x:c r="F12" s="40" t="str"/>
    </x:row>
    <x:row r="13" ht="21.600000381469727" hidden="0" customHeight="1">
      <x:c r="A13" s="40" t="str">
        <x:v>Approve hiring date</x:v>
      </x:c>
      <x:c r="B13" s="50" t="str">
        <x:f>IF(D6&lt;0,"Capacity gap: "&amp;TEXT(-D6,"$#,##0"),"No gap")</x:f>
        <x:v>Capacity gap: $700,000</x:v>
      </x:c>
      <x:c r="C13" s="40" t="str">
        <x:v>CRO + Finance</x:v>
      </x:c>
      <x:c r="D13" s="40" t="str">
        <x:v>This cycle</x:v>
      </x:c>
      <x:c r="E13" s="40" t="str">
        <x:v>Approve role and productive-start date</x:v>
      </x:c>
      <x:c r="F13" s="40" t="str"/>
    </x:row>
    <x:row r="14" ht="21.600000381469727" hidden="0" customHeight="1">
      <x:c r="A14" s="42" t="str">
        <x:v>Review forecast exceptions</x:v>
      </x:c>
      <x:c r="B14" s="52" t="str">
        <x:f>IF(D4&lt;0,"Forecast gap: "&amp;TEXT(-D4,"$#,##0"),"No gap")</x:f>
        <x:v>Forecast gap: $4,300,000</x:v>
      </x:c>
      <x:c r="C14" s="42" t="str">
        <x:v>Revenue leadership</x:v>
      </x:c>
      <x:c r="D14" s="42" t="str">
        <x:v>Weekly</x:v>
      </x:c>
      <x:c r="E14" s="42" t="str">
        <x:v>Inspect commit evidence and close-date risk</x:v>
      </x:c>
      <x:c r="F14" s="42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38" t="str">
        <x:v>Plan vs. Actual Executive View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Bookings variance</x:v>
      </x:c>
      <x:c r="B3" s="55" t="n">
        <x:f>Model!D4</x:f>
        <x:v>-4300000</x:v>
      </x:c>
      <x:c r="C3" s="56" t="str">
        <x:f>Model!E4</x:f>
        <x:v>GAP</x:v>
      </x:c>
      <x:c r="D3" s="9" t="str">
        <x:v>CEO + Board</x:v>
      </x:c>
      <x:c r="E3" s="9" t="str">
        <x:v>Primary plan outcome</x:v>
      </x:c>
    </x:row>
    <x:row r="4" ht="15" hidden="0" customHeight="1">
      <x:c r="A4" s="9" t="str">
        <x:v>Pipeline variance</x:v>
      </x:c>
      <x:c r="B4" s="55" t="n">
        <x:f>Model!D5</x:f>
        <x:v>-49000000</x:v>
      </x:c>
      <x:c r="C4" s="56" t="str">
        <x:f>Model!E5</x:f>
        <x:v>GAP</x:v>
      </x:c>
      <x:c r="D4" s="9" t="str">
        <x:v>CMO + CRO</x:v>
      </x:c>
      <x:c r="E4" s="9" t="str">
        <x:v>Leading indicator</x:v>
      </x:c>
    </x:row>
    <x:row r="5" ht="15" hidden="0" customHeight="1">
      <x:c r="A5" s="9" t="str">
        <x:v>Capacity variance</x:v>
      </x:c>
      <x:c r="B5" s="55" t="n">
        <x:f>Model!D6</x:f>
        <x:v>-700000</x:v>
      </x:c>
      <x:c r="C5" s="56" t="str">
        <x:f>Model!E6</x:f>
        <x:v>HIRE</x:v>
      </x:c>
      <x:c r="D5" s="9" t="str">
        <x:v>Finance + CRO</x:v>
      </x:c>
      <x:c r="E5" s="9" t="str">
        <x:v>Plan feasibility</x:v>
      </x:c>
    </x:row>
    <x:row r="6" ht="15" hidden="0" customHeight="1">
      <x:c r="A6" s="9" t="str">
        <x:v>Open decisions</x:v>
      </x:c>
      <x:c r="B6" s="55" t="n">
        <x:f>COUNTIF(Model!E4:E7,"&lt;&gt;ON PLAN")</x:f>
        <x:v>4</x:v>
      </x:c>
      <x:c r="C6" s="56" t="str">
        <x:v>OUTPUT</x:v>
      </x:c>
      <x:c r="D6" s="9" t="str">
        <x:v>Leadership</x:v>
      </x:c>
      <x:c r="E6" s="9" t="str">
        <x:v>Number of exceptions requiring ownership</x:v>
      </x:c>
    </x:row>
  </x:sheetData>
  <x:mergeCells>
    <x:mergeCell ref="A1:E1"/>
  </x:mergeCells>
  <x:pageMargins left="0.7" right="0.7" top="0.75" bottom="0.75" header="0.3" footer="0.3"/>
</x:worksheet>
</file>