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938d3927b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875b6dbb9264694"/>
    <x:sheet xmlns:r="http://schemas.openxmlformats.org/officeDocument/2006/relationships" name="Inputs" sheetId="2" r:id="R2b78f015ee364b86"/>
    <x:sheet xmlns:r="http://schemas.openxmlformats.org/officeDocument/2006/relationships" name="Model" sheetId="3" r:id="R2882c0b6c4184725"/>
    <x:sheet xmlns:r="http://schemas.openxmlformats.org/officeDocument/2006/relationships" name="Checks &amp; Handoffs" sheetId="4" r:id="R41dd62a2e514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$#,##0"/>
    <x:numFmt numFmtId="202" formatCode="0.0x"/>
    <x:numFmt numFmtId="203" formatCode="0.0%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1" fontId="0" fillId="0" borderId="2" xfId="0" applyNumberFormat="1" applyFont="1" applyFill="1" applyBorder="1"/>
    <x:xf numFmtId="201" fontId="8" fillId="6" borderId="2" xfId="0" applyNumberFormat="1" applyFont="1" applyFill="1" applyBorder="1"/>
    <x:xf numFmtId="201" fontId="0" fillId="0" borderId="3" xfId="0" applyNumberFormat="1" applyFont="1" applyFill="1" applyBorder="1"/>
    <x:xf numFmtId="201" fontId="8" fillId="6" borderId="3" xfId="0" applyNumberFormat="1" applyFont="1" applyFill="1" applyBorder="1"/>
    <x:xf numFmtId="202" fontId="8" fillId="6" borderId="2" xfId="0" applyNumberFormat="1" applyFont="1" applyFill="1" applyBorder="1"/>
    <x:xf numFmtId="202" fontId="8" fillId="6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3" fontId="8" fillId="6" borderId="2" xfId="0" applyNumberFormat="1" applyFont="1" applyFill="1" applyBorder="1"/>
    <x:xf numFmtId="203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1" fontId="5" fillId="5" borderId="2" xfId="0" applyNumberFormat="1" applyFont="1" applyFill="1" applyBorder="1"/>
    <x:xf numFmtId="200" fontId="5" fillId="5" borderId="2" xfId="0" applyNumberFormat="1" applyFont="1" applyFill="1" applyBorder="1"/>
    <x:xf numFmtId="0" fontId="4" fillId="0" borderId="3" xfId="0" applyNumberFormat="1" applyFont="1" applyFill="1" applyBorder="1"/>
    <x:xf numFmtId="0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1" fontId="5" fillId="5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4" fillId="0" borderId="2" xfId="0" applyNumberFormat="1" applyFont="1" applyFill="1" applyBorder="1"/>
    <x:xf numFmtId="201" fontId="4" fillId="6" borderId="2" xfId="0" applyNumberFormat="1" applyFont="1" applyFill="1" applyBorder="1"/>
    <x:xf numFmtId="202" fontId="4" fillId="6" borderId="2" xfId="0" applyNumberFormat="1" applyFont="1" applyFill="1" applyBorder="1"/>
    <x:xf numFmtId="201" fontId="4" fillId="0" borderId="3" xfId="0" applyNumberFormat="1" applyFont="1" applyFill="1" applyBorder="1"/>
    <x:xf numFmtId="201" fontId="4" fillId="6" borderId="3" xfId="0" applyNumberFormat="1" applyFont="1" applyFill="1" applyBorder="1"/>
    <x:xf numFmtId="202" fontId="4" fillId="6" borderId="3" xfId="0" applyNumberFormat="1" applyFont="1" applyFill="1" applyBorder="1"/>
    <x:xf numFmtId="200" fontId="4" fillId="0" borderId="2" xfId="0" applyNumberFormat="1" applyFont="1" applyFill="1" applyBorder="1"/>
    <x:xf numFmtId="203" fontId="4" fillId="6" borderId="2" xfId="0" applyNumberFormat="1" applyFont="1" applyFill="1" applyBorder="1"/>
    <x:xf numFmtId="200" fontId="4" fillId="0" borderId="3" xfId="0" applyNumberFormat="1" applyFont="1" applyFill="1" applyBorder="1"/>
    <x:xf numFmtId="203" fontId="4" fillId="6" borderId="3" xfId="0" applyNumberFormat="1" applyFont="1" applyFill="1" applyBorder="1"/>
    <x:xf numFmtId="201" fontId="4" fillId="0" borderId="2" xfId="0" applyNumberFormat="1" applyFont="1" applyFill="1" applyBorder="1" applyAlignment="1">
      <x:alignment wrapText="1"/>
    </x:xf>
    <x:xf numFmtId="201" fontId="4" fillId="6" borderId="2" xfId="0" applyNumberFormat="1" applyFont="1" applyFill="1" applyBorder="1" applyAlignment="1">
      <x:alignment wrapText="1"/>
    </x:xf>
    <x:xf numFmtId="202" fontId="4" fillId="6" borderId="2" xfId="0" applyNumberFormat="1" applyFont="1" applyFill="1" applyBorder="1" applyAlignment="1">
      <x:alignment wrapText="1"/>
    </x:xf>
    <x:xf numFmtId="201" fontId="4" fillId="0" borderId="3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202" fontId="4" fillId="6" borderId="3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203" fontId="4" fillId="6" borderId="2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wrapText="1"/>
    </x:xf>
    <x:xf numFmtId="203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dbb4383894da9" /><Relationship Type="http://schemas.openxmlformats.org/officeDocument/2006/relationships/theme" Target="/xl/theme/theme1.xml" Id="R49e8fefeff7f469d" /><Relationship Type="http://schemas.openxmlformats.org/officeDocument/2006/relationships/sharedStrings" Target="/xl/sharedStrings.xml" Id="R82fe6e4871f34e3e" /><Relationship Type="http://schemas.openxmlformats.org/officeDocument/2006/relationships/worksheet" Target="/xl/worksheets/sheet1.xml" Id="Re875b6dbb9264694" /><Relationship Type="http://schemas.openxmlformats.org/officeDocument/2006/relationships/worksheet" Target="/xl/worksheets/sheet2.xml" Id="R2b78f015ee364b86" /><Relationship Type="http://schemas.openxmlformats.org/officeDocument/2006/relationships/worksheet" Target="/xl/worksheets/sheet3.xml" Id="R2882c0b6c4184725" /><Relationship Type="http://schemas.openxmlformats.org/officeDocument/2006/relationships/worksheet" Target="/xl/worksheets/sheet4.xml" Id="R41dd62a2e51440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Compensation Alignment</x:v>
      </x:c>
    </x:row>
    <x:row r="2" ht="26" customHeight="1">
      <x:c r="A2" s="4" t="str">
        <x:v>Test whether quota, OTE, pay mix, and commission economics reinforce the plan.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Does the compensation design reward the same outcomes the bookings plan counts?</x:v>
      </x:c>
      <x:c r="C5" s="9"/>
      <x:c r="D5" s="9" t="str">
        <x:v>1. Inherits quota pool and individual quotas.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Tests commission cost and leverage.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Hands policy exceptions to Finance, HR, and leadership.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47" t="str">
        <x:v>Compensation Alignment | Inputs</x:v>
      </x:c>
      <x:c r="B1" s="9"/>
      <x:c r="C1" s="9"/>
      <x:c r="D1" s="9"/>
    </x:row>
    <x:row r="2" ht="15" hidden="0" customHeight="1">
      <x:c r="A2" s="48" t="str">
        <x:v>ASSUMPTION</x:v>
      </x:c>
      <x:c r="B2" s="48" t="str">
        <x:v>VALUE</x:v>
      </x:c>
      <x:c r="C2" s="48" t="str">
        <x:v>UNIT / TYPE</x:v>
      </x:c>
      <x:c r="D2" s="48" t="str">
        <x:v>WHY IT MATTERS</x:v>
      </x:c>
    </x:row>
    <x:row r="3" ht="15" hidden="0" customHeight="1">
      <x:c r="A3" s="49" t="str">
        <x:v>Total quota pool</x:v>
      </x:c>
      <x:c r="B3" s="50" t="n">
        <x:v>19800000</x:v>
      </x:c>
      <x:c r="C3" s="49" t="str">
        <x:v>Currency</x:v>
      </x:c>
      <x:c r="D3" s="49" t="str">
        <x:v>From Quota Model</x:v>
      </x:c>
    </x:row>
    <x:row r="4" ht="15" hidden="0" customHeight="1">
      <x:c r="A4" s="49" t="str">
        <x:v>Enterprise OTE</x:v>
      </x:c>
      <x:c r="B4" s="50" t="n">
        <x:v>260000</x:v>
      </x:c>
      <x:c r="C4" s="49" t="str">
        <x:v>Currency</x:v>
      </x:c>
      <x:c r="D4" s="49" t="str">
        <x:v>On-target earnings</x:v>
      </x:c>
    </x:row>
    <x:row r="5" ht="15" hidden="0" customHeight="1">
      <x:c r="A5" s="49" t="str">
        <x:v>Mid-Market OTE</x:v>
      </x:c>
      <x:c r="B5" s="50" t="n">
        <x:v>190000</x:v>
      </x:c>
      <x:c r="C5" s="49" t="str">
        <x:v>Currency</x:v>
      </x:c>
      <x:c r="D5" s="49" t="str">
        <x:v>On-target earnings</x:v>
      </x:c>
    </x:row>
    <x:row r="6" ht="15" hidden="0" customHeight="1">
      <x:c r="A6" s="49" t="str">
        <x:v>Commercial OTE</x:v>
      </x:c>
      <x:c r="B6" s="50" t="n">
        <x:v>140000</x:v>
      </x:c>
      <x:c r="C6" s="49" t="str">
        <x:v>Currency</x:v>
      </x:c>
      <x:c r="D6" s="49" t="str">
        <x:v>On-target earnings</x:v>
      </x:c>
    </x:row>
    <x:row r="7" ht="15" hidden="0" customHeight="1">
      <x:c r="A7" s="49" t="str">
        <x:v>Variable pay mix</x:v>
      </x:c>
      <x:c r="B7" s="51" t="n">
        <x:v>0.5</x:v>
      </x:c>
      <x:c r="C7" s="49" t="str">
        <x:v>Percent</x:v>
      </x:c>
      <x:c r="D7" s="49" t="str">
        <x:v>Variable portion of OTE</x:v>
      </x:c>
    </x:row>
    <x:row r="8" ht="15" hidden="0" customHeight="1">
      <x:c r="A8" s="49" t="str">
        <x:v>Accelerator threshold</x:v>
      </x:c>
      <x:c r="B8" s="51" t="n">
        <x:v>1</x:v>
      </x:c>
      <x:c r="C8" s="49" t="str">
        <x:v>Percent attainment</x:v>
      </x:c>
      <x:c r="D8" s="49" t="str">
        <x:v>When acceleration starts</x:v>
      </x:c>
    </x:row>
    <x:row r="9" ht="15" hidden="0" customHeight="1">
      <x:c r="A9" s="52" t="str">
        <x:v>Accelerator rate</x:v>
      </x:c>
      <x:c r="B9" s="53" t="n">
        <x:v>1.5</x:v>
      </x:c>
      <x:c r="C9" s="52" t="str">
        <x:v>Multiplier</x:v>
      </x:c>
      <x:c r="D9" s="52" t="str">
        <x:v>Marginal payout above threshold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47" t="str">
        <x:v>Compensation Alignment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54" t="str">
        <x:v>ROLE</x:v>
      </x:c>
      <x:c r="B3" s="54" t="str">
        <x:v>SELLERS</x:v>
      </x:c>
      <x:c r="C3" s="54" t="str">
        <x:v>AVG QUOTA</x:v>
      </x:c>
      <x:c r="D3" s="54" t="str">
        <x:v>OTE</x:v>
      </x:c>
      <x:c r="E3" s="54" t="str">
        <x:v>VARIABLE PAY</x:v>
      </x:c>
      <x:c r="F3" s="54" t="str">
        <x:v>QUOTA / VARIABLE LEVERAGE</x:v>
      </x:c>
    </x:row>
    <x:row r="4" ht="15" hidden="0" customHeight="1">
      <x:c r="A4" s="49" t="str">
        <x:v>Enterprise AE</x:v>
      </x:c>
      <x:c r="B4" s="49" t="n">
        <x:v>4</x:v>
      </x:c>
      <x:c r="C4" s="65" t="n">
        <x:v>2700000</x:v>
      </x:c>
      <x:c r="D4" s="66" t="n">
        <x:f>'Inputs'!$B$4</x:f>
        <x:v>260000</x:v>
      </x:c>
      <x:c r="E4" s="66" t="n">
        <x:f>D4*'Inputs'!$B$7</x:f>
        <x:v>130000</x:v>
      </x:c>
      <x:c r="F4" s="67" t="n">
        <x:f>C4/E4</x:f>
        <x:v>20.76923076923077</x:v>
      </x:c>
    </x:row>
    <x:row r="5" ht="15" hidden="0" customHeight="1">
      <x:c r="A5" s="49" t="str">
        <x:v>Mid-Market AE</x:v>
      </x:c>
      <x:c r="B5" s="49" t="n">
        <x:v>3</x:v>
      </x:c>
      <x:c r="C5" s="65" t="n">
        <x:v>1800000</x:v>
      </x:c>
      <x:c r="D5" s="66" t="n">
        <x:f>'Inputs'!$B$5</x:f>
        <x:v>190000</x:v>
      </x:c>
      <x:c r="E5" s="66" t="n">
        <x:f>D5*'Inputs'!$B$7</x:f>
        <x:v>95000</x:v>
      </x:c>
      <x:c r="F5" s="67" t="n">
        <x:f>C5/E5</x:f>
        <x:v>18.94736842105263</x:v>
      </x:c>
    </x:row>
    <x:row r="6" ht="15" hidden="0" customHeight="1">
      <x:c r="A6" s="49" t="str">
        <x:v>Commercial AE</x:v>
      </x:c>
      <x:c r="B6" s="49" t="n">
        <x:v>2</x:v>
      </x:c>
      <x:c r="C6" s="65" t="n">
        <x:v>1050000</x:v>
      </x:c>
      <x:c r="D6" s="66" t="n">
        <x:f>'Inputs'!$B$6</x:f>
        <x:v>140000</x:v>
      </x:c>
      <x:c r="E6" s="66" t="n">
        <x:f>D6*'Inputs'!$B$7</x:f>
        <x:v>70000</x:v>
      </x:c>
      <x:c r="F6" s="67" t="n">
        <x:f>C6/E6</x:f>
        <x:v>15</x:v>
      </x:c>
    </x:row>
    <x:row r="7" ht="15" hidden="0" customHeight="1">
      <x:c r="A7" s="52" t="str">
        <x:v>TOTAL</x:v>
      </x:c>
      <x:c r="B7" s="52" t="n">
        <x:f>SUM(B4:B6)</x:f>
        <x:v>9</x:v>
      </x:c>
      <x:c r="C7" s="68" t="n">
        <x:f>SUMPRODUCT(B4:B6,C4:C6)/B7</x:f>
        <x:v>2033333.3333333333</x:v>
      </x:c>
      <x:c r="D7" s="69" t="str"/>
      <x:c r="E7" s="69" t="n">
        <x:f>SUMPRODUCT(B4:B6,E4:E6)</x:f>
        <x:v>945000</x:v>
      </x:c>
      <x:c r="F7" s="70" t="n">
        <x:f>SUMPRODUCT(B4:B6,C4:C6)/E7</x:f>
        <x:v>19.365079365079364</x:v>
      </x:c>
    </x:row>
    <x:row r="8" ht="15" hidden="0" customHeight="1">
      <x:c r="A8" s="9"/>
      <x:c r="B8" s="9"/>
      <x:c r="C8" s="9"/>
      <x:c r="D8" s="9"/>
      <x:c r="E8" s="9"/>
      <x:c r="F8" s="9"/>
    </x:row>
    <x:row r="9" ht="15" hidden="0" customHeight="1">
      <x:c r="A9" s="9"/>
      <x:c r="B9" s="9"/>
      <x:c r="C9" s="9"/>
      <x:c r="D9" s="9"/>
      <x:c r="E9" s="9"/>
      <x:c r="F9" s="9"/>
    </x:row>
    <x:row r="10" ht="21.600000381469727" hidden="0" customHeight="1">
      <x:c r="A10" s="54" t="str">
        <x:v>ATTAINMENT</x:v>
      </x:c>
      <x:c r="B10" s="54" t="str">
        <x:v>BASE PAYOUT</x:v>
      </x:c>
      <x:c r="C10" s="54" t="str">
        <x:v>ACCELERATED PAYOUT</x:v>
      </x:c>
      <x:c r="D10" s="54" t="str">
        <x:v>TOTAL VARIABLE PAY</x:v>
      </x:c>
      <x:c r="E10" s="54" t="str">
        <x:v>COMMISSION RATE</x:v>
      </x:c>
      <x:c r="F10" s="54" t="str"/>
    </x:row>
    <x:row r="11" ht="15" hidden="0" customHeight="1">
      <x:c r="A11" s="71" t="n">
        <x:v>0.5</x:v>
      </x:c>
      <x:c r="B11" s="66" t="n">
        <x:f>0.5*E7</x:f>
        <x:v>472500</x:v>
      </x:c>
      <x:c r="C11" s="66" t="n">
        <x:v>0</x:v>
      </x:c>
      <x:c r="D11" s="66" t="n">
        <x:f>B11+C11</x:f>
        <x:v>472500</x:v>
      </x:c>
      <x:c r="E11" s="72" t="n">
        <x:f>D11/'Inputs'!$B$3</x:f>
        <x:v>0.023863636363636365</x:v>
      </x:c>
      <x:c r="F11" s="49" t="str"/>
    </x:row>
    <x:row r="12" ht="15" hidden="0" customHeight="1">
      <x:c r="A12" s="71" t="n">
        <x:v>0.8</x:v>
      </x:c>
      <x:c r="B12" s="66" t="n">
        <x:f>0.8*E7</x:f>
        <x:v>756000</x:v>
      </x:c>
      <x:c r="C12" s="66" t="n">
        <x:v>0</x:v>
      </x:c>
      <x:c r="D12" s="66" t="n">
        <x:f>B12+C12</x:f>
        <x:v>756000</x:v>
      </x:c>
      <x:c r="E12" s="72" t="n">
        <x:f>D12/'Inputs'!$B$3</x:f>
        <x:v>0.038181818181818185</x:v>
      </x:c>
      <x:c r="F12" s="49" t="str"/>
    </x:row>
    <x:row r="13" ht="15" hidden="0" customHeight="1">
      <x:c r="A13" s="71" t="n">
        <x:v>1</x:v>
      </x:c>
      <x:c r="B13" s="66" t="n">
        <x:f>E7</x:f>
        <x:v>945000</x:v>
      </x:c>
      <x:c r="C13" s="66" t="n">
        <x:v>0</x:v>
      </x:c>
      <x:c r="D13" s="66" t="n">
        <x:f>B13+C13</x:f>
        <x:v>945000</x:v>
      </x:c>
      <x:c r="E13" s="72" t="n">
        <x:f>D13/'Inputs'!$B$3</x:f>
        <x:v>0.04772727272727273</x:v>
      </x:c>
      <x:c r="F13" s="49" t="str"/>
    </x:row>
    <x:row r="14" ht="15" hidden="0" customHeight="1">
      <x:c r="A14" s="71" t="n">
        <x:v>1.2</x:v>
      </x:c>
      <x:c r="B14" s="66" t="n">
        <x:f>E7</x:f>
        <x:v>945000</x:v>
      </x:c>
      <x:c r="C14" s="66" t="n">
        <x:f>(A14-'Inputs'!$B$8)*E7*'Inputs'!$B$9</x:f>
        <x:v>283499.99999999994</x:v>
      </x:c>
      <x:c r="D14" s="66" t="n">
        <x:f>B14+C14</x:f>
        <x:v>1228500</x:v>
      </x:c>
      <x:c r="E14" s="72" t="n">
        <x:f>D14/'Inputs'!$B$3</x:f>
        <x:v>0.06204545454545454</x:v>
      </x:c>
      <x:c r="F14" s="49" t="str"/>
    </x:row>
    <x:row r="15" ht="15" hidden="0" customHeight="1">
      <x:c r="A15" s="73" t="n">
        <x:v>1.5</x:v>
      </x:c>
      <x:c r="B15" s="69" t="n">
        <x:f>E7</x:f>
        <x:v>945000</x:v>
      </x:c>
      <x:c r="C15" s="69" t="n">
        <x:f>(A15-'Inputs'!$B$8)*E7*'Inputs'!$B$9</x:f>
        <x:v>708750</x:v>
      </x:c>
      <x:c r="D15" s="69" t="n">
        <x:f>B15+C15</x:f>
        <x:v>1653750</x:v>
      </x:c>
      <x:c r="E15" s="74" t="n">
        <x:f>D15/'Inputs'!$B$3</x:f>
        <x:v>0.08352272727272728</x:v>
      </x:c>
      <x:c r="F15" s="52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47" t="str">
        <x:v>Compensation Alignment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Quota pool vs role design</x:v>
      </x:c>
      <x:c r="B3" s="77" t="n">
        <x:f>SUMPRODUCT(Model!B4:B6,Model!C4:C6)</x:f>
        <x:v>18300000</x:v>
      </x:c>
      <x:c r="C3" s="78" t="str">
        <x:f>IF(ABS(B3-Inputs!B3)&lt;1000,"PASS","RECONCILE")</x:f>
        <x:v>RECONCILE</x:v>
      </x:c>
      <x:c r="D3" s="9" t="str">
        <x:v>Finance + RevOps</x:v>
      </x:c>
      <x:c r="E3" s="9" t="str">
        <x:v>Role quotas must match pool</x:v>
      </x:c>
    </x:row>
    <x:row r="4" ht="15" hidden="0" customHeight="1">
      <x:c r="A4" s="9" t="str">
        <x:v>Target variable pay</x:v>
      </x:c>
      <x:c r="B4" s="77" t="n">
        <x:f>Model!E7</x:f>
        <x:v>945000</x:v>
      </x:c>
      <x:c r="C4" s="78" t="str">
        <x:v>OUTPUT</x:v>
      </x:c>
      <x:c r="D4" s="9" t="str">
        <x:v>Finance</x:v>
      </x:c>
      <x:c r="E4" s="9" t="str">
        <x:v>Commission budget at target</x:v>
      </x:c>
    </x:row>
    <x:row r="5" ht="15" hidden="0" customHeight="1">
      <x:c r="A5" s="9" t="str">
        <x:v>Leverage</x:v>
      </x:c>
      <x:c r="B5" s="77" t="n">
        <x:f>Model!F7</x:f>
        <x:v>19.365079365079364</x:v>
      </x:c>
      <x:c r="C5" s="78" t="str">
        <x:f>IF(AND(B5&gt;=4,B5&lt;=8),"PASS","REVIEW")</x:f>
        <x:v>REVIEW</x:v>
      </x:c>
      <x:c r="D5" s="9" t="str">
        <x:v>Comp Committee</x:v>
      </x:c>
      <x:c r="E5" s="9" t="str">
        <x:v>Quota-to-variable economics</x:v>
      </x:c>
    </x:row>
    <x:row r="6" ht="15" hidden="0" customHeight="1">
      <x:c r="A6" s="9" t="str">
        <x:v>Accelerator policy</x:v>
      </x:c>
      <x:c r="B6" s="77" t="n">
        <x:f>Inputs!B9</x:f>
        <x:v>1.5</x:v>
      </x:c>
      <x:c r="C6" s="78" t="str">
        <x:f>IF(B6&gt;=1,"PASS","FAIL")</x:f>
        <x:v>PASS</x:v>
      </x:c>
      <x:c r="D6" s="9" t="str">
        <x:v>HR + Finance</x:v>
      </x:c>
      <x:c r="E6" s="9" t="str">
        <x:v>Marginal payout policy</x:v>
      </x:c>
    </x:row>
  </x:sheetData>
  <x:mergeCells>
    <x:mergeCell ref="A1:E1"/>
  </x:mergeCells>
  <x:pageMargins left="0.7" right="0.7" top="0.75" bottom="0.75" header="0.3" footer="0.3"/>
</x:worksheet>
</file>