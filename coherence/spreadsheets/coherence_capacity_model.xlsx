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00691465e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5b7a6010f144c05"/>
    <x:sheet xmlns:r="http://schemas.openxmlformats.org/officeDocument/2006/relationships" name="Inputs" sheetId="2" r:id="Rb1be6c9158cc423e"/>
    <x:sheet xmlns:r="http://schemas.openxmlformats.org/officeDocument/2006/relationships" name="Model" sheetId="3" r:id="R68343cadc2d0427d"/>
    <x:sheet xmlns:r="http://schemas.openxmlformats.org/officeDocument/2006/relationships" name="Checks &amp; Handoffs" sheetId="4" r:id="R4c244c8e6a0b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$#,##0"/>
    <x:numFmt numFmtId="202" formatCode="0%"/>
    <x:numFmt numFmtId="203" formatCode="0.0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1" fontId="6" fillId="5" borderId="2" xfId="0" applyNumberFormat="1" applyFont="1" applyFill="1" applyBorder="1"/>
    <x:xf numFmtId="201" fontId="6" fillId="5" borderId="3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2" fontId="8" fillId="6" borderId="2" xfId="0" applyNumberFormat="1" applyFont="1" applyFill="1" applyBorder="1"/>
    <x:xf numFmtId="201" fontId="8" fillId="6" borderId="2" xfId="0" applyNumberFormat="1" applyFont="1" applyFill="1" applyBorder="1"/>
    <x:xf numFmtId="201" fontId="8" fillId="6" borderId="3" xfId="0" applyNumberFormat="1" applyFont="1" applyFill="1" applyBorder="1"/>
    <x:xf numFmtId="203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1" fontId="5" fillId="5" borderId="2" xfId="0" applyNumberFormat="1" applyFont="1" applyFill="1" applyBorder="1"/>
    <x:xf numFmtId="200" fontId="5" fillId="5" borderId="2" xfId="0" applyNumberFormat="1" applyFont="1" applyFill="1" applyBorder="1"/>
    <x:xf numFmtId="0" fontId="4" fillId="0" borderId="3" xfId="0" applyNumberFormat="1" applyFont="1" applyFill="1" applyBorder="1"/>
    <x:xf numFmtId="201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1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2" fontId="4" fillId="6" borderId="2" xfId="0" applyNumberFormat="1" applyFont="1" applyFill="1" applyBorder="1"/>
    <x:xf numFmtId="0" fontId="4" fillId="6" borderId="2" xfId="0" applyNumberFormat="1" applyFont="1" applyFill="1" applyBorder="1"/>
    <x:xf numFmtId="201" fontId="4" fillId="6" borderId="2" xfId="0" applyNumberFormat="1" applyFont="1" applyFill="1" applyBorder="1"/>
    <x:xf numFmtId="0" fontId="4" fillId="6" borderId="3" xfId="0" applyNumberFormat="1" applyFont="1" applyFill="1" applyBorder="1"/>
    <x:xf numFmtId="201" fontId="4" fillId="6" borderId="3" xfId="0" applyNumberFormat="1" applyFont="1" applyFill="1" applyBorder="1"/>
    <x:xf numFmtId="203" fontId="4" fillId="6" borderId="3" xfId="0" applyNumberFormat="1" applyFont="1" applyFill="1" applyBorder="1"/>
    <x:xf numFmtId="202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201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203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c199bc5fe4218" /><Relationship Type="http://schemas.openxmlformats.org/officeDocument/2006/relationships/theme" Target="/xl/theme/theme1.xml" Id="Redbdb3e50e834350" /><Relationship Type="http://schemas.openxmlformats.org/officeDocument/2006/relationships/sharedStrings" Target="/xl/sharedStrings.xml" Id="R821e847f09d94864" /><Relationship Type="http://schemas.openxmlformats.org/officeDocument/2006/relationships/worksheet" Target="/xl/worksheets/sheet1.xml" Id="Ra5b7a6010f144c05" /><Relationship Type="http://schemas.openxmlformats.org/officeDocument/2006/relationships/worksheet" Target="/xl/worksheets/sheet2.xml" Id="Rb1be6c9158cc423e" /><Relationship Type="http://schemas.openxmlformats.org/officeDocument/2006/relationships/worksheet" Target="/xl/worksheets/sheet3.xml" Id="R68343cadc2d0427d" /><Relationship Type="http://schemas.openxmlformats.org/officeDocument/2006/relationships/worksheet" Target="/xl/worksheets/sheet4.xml" Id="R4c244c8e6a0b44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Coverage &amp; Capacity</x:v>
      </x:c>
    </x:row>
    <x:row r="2" ht="26" customHeight="1">
      <x:c r="A2" s="4" t="str">
        <x:v>Test whether productive headcount can carry seller bookings and quota.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Do we have enough ramp-adjusted capacity, and when must we hire?</x:v>
      </x:c>
      <x:c r="C5" s="9"/>
      <x:c r="D5" s="9" t="str">
        <x:v>1. Inherits seller target and quota pool.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Feeds productive quota to coverage calculations.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Hands hiring gaps and timing to Finance and leadership.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2" t="str">
        <x:v>Coverage &amp; Capacity | Inputs</x:v>
      </x:c>
      <x:c r="B1" s="9"/>
      <x:c r="C1" s="9"/>
      <x:c r="D1" s="9"/>
    </x:row>
    <x:row r="2" ht="15" hidden="0" customHeight="1">
      <x:c r="A2" s="43" t="str">
        <x:v>ASSUMPTION</x:v>
      </x:c>
      <x:c r="B2" s="43" t="str">
        <x:v>VALUE</x:v>
      </x:c>
      <x:c r="C2" s="43" t="str">
        <x:v>UNIT / TYPE</x:v>
      </x:c>
      <x:c r="D2" s="43" t="str">
        <x:v>WHY IT MATTERS</x:v>
      </x:c>
    </x:row>
    <x:row r="3" ht="15" hidden="0" customHeight="1">
      <x:c r="A3" s="44" t="str">
        <x:v>Seller bookings target</x:v>
      </x:c>
      <x:c r="B3" s="45" t="n">
        <x:v>18000000</x:v>
      </x:c>
      <x:c r="C3" s="44" t="str">
        <x:v>Currency</x:v>
      </x:c>
      <x:c r="D3" s="44" t="str">
        <x:v>From Bookings Plan</x:v>
      </x:c>
    </x:row>
    <x:row r="4" ht="15" hidden="0" customHeight="1">
      <x:c r="A4" s="44" t="str">
        <x:v>Annual attrition</x:v>
      </x:c>
      <x:c r="B4" s="46" t="n">
        <x:v>0.1</x:v>
      </x:c>
      <x:c r="C4" s="44" t="str">
        <x:v>Percent</x:v>
      </x:c>
      <x:c r="D4" s="44" t="str">
        <x:v>Expected capacity leakage</x:v>
      </x:c>
    </x:row>
    <x:row r="5" ht="15" hidden="0" customHeight="1">
      <x:c r="A5" s="44" t="str">
        <x:v>Enterprise productivity</x:v>
      </x:c>
      <x:c r="B5" s="45" t="n">
        <x:v>2700000</x:v>
      </x:c>
      <x:c r="C5" s="44" t="str">
        <x:v>Currency / FTE</x:v>
      </x:c>
      <x:c r="D5" s="44" t="str">
        <x:v>Expected annual bookings</x:v>
      </x:c>
    </x:row>
    <x:row r="6" ht="15" hidden="0" customHeight="1">
      <x:c r="A6" s="44" t="str">
        <x:v>Mid-Market productivity</x:v>
      </x:c>
      <x:c r="B6" s="45" t="n">
        <x:v>1800000</x:v>
      </x:c>
      <x:c r="C6" s="44" t="str">
        <x:v>Currency / FTE</x:v>
      </x:c>
      <x:c r="D6" s="44" t="str">
        <x:v>Expected annual bookings</x:v>
      </x:c>
    </x:row>
    <x:row r="7" ht="15" hidden="0" customHeight="1">
      <x:c r="A7" s="47" t="str">
        <x:v>Commercial productivity</x:v>
      </x:c>
      <x:c r="B7" s="48" t="n">
        <x:v>1050000</x:v>
      </x:c>
      <x:c r="C7" s="47" t="str">
        <x:v>Currency / FTE</x:v>
      </x:c>
      <x:c r="D7" s="47" t="str">
        <x:v>Expected annual bookings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2" t="str">
        <x:v>Coverage &amp; Capacity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49" t="str">
        <x:v>ROLE</x:v>
      </x:c>
      <x:c r="B3" s="49" t="str">
        <x:v>HEADCOUNT</x:v>
      </x:c>
      <x:c r="C3" s="49" t="str">
        <x:v>AVG RAMP</x:v>
      </x:c>
      <x:c r="D3" s="49" t="str">
        <x:v>PRODUCTIVE FTE</x:v>
      </x:c>
      <x:c r="E3" s="49" t="str">
        <x:v>PRODUCTIVITY / FTE</x:v>
      </x:c>
      <x:c r="F3" s="49" t="str">
        <x:v>BOOKINGS CAPACITY</x:v>
      </x:c>
    </x:row>
    <x:row r="4" ht="15" hidden="0" customHeight="1">
      <x:c r="A4" s="44" t="str">
        <x:v>Enterprise AE</x:v>
      </x:c>
      <x:c r="B4" s="44" t="n">
        <x:v>4</x:v>
      </x:c>
      <x:c r="C4" s="56" t="n">
        <x:v>0.85</x:v>
      </x:c>
      <x:c r="D4" s="57" t="n">
        <x:f>B4*C4</x:f>
        <x:v>3.4</x:v>
      </x:c>
      <x:c r="E4" s="58" t="n">
        <x:f>'Inputs'!$B$5</x:f>
        <x:v>2700000</x:v>
      </x:c>
      <x:c r="F4" s="58" t="n">
        <x:f>D4*E4</x:f>
        <x:v>9180000</x:v>
      </x:c>
    </x:row>
    <x:row r="5" ht="15" hidden="0" customHeight="1">
      <x:c r="A5" s="44" t="str">
        <x:v>Mid-Market AE</x:v>
      </x:c>
      <x:c r="B5" s="44" t="n">
        <x:v>3</x:v>
      </x:c>
      <x:c r="C5" s="56" t="n">
        <x:v>0.92</x:v>
      </x:c>
      <x:c r="D5" s="57" t="n">
        <x:f>B5*C5</x:f>
        <x:v>2.7600000000000002</x:v>
      </x:c>
      <x:c r="E5" s="58" t="n">
        <x:f>'Inputs'!$B$6</x:f>
        <x:v>1800000</x:v>
      </x:c>
      <x:c r="F5" s="58" t="n">
        <x:f>D5*E5</x:f>
        <x:v>4968000</x:v>
      </x:c>
    </x:row>
    <x:row r="6" ht="15" hidden="0" customHeight="1">
      <x:c r="A6" s="44" t="str">
        <x:v>Commercial AE</x:v>
      </x:c>
      <x:c r="B6" s="44" t="n">
        <x:v>2</x:v>
      </x:c>
      <x:c r="C6" s="56" t="n">
        <x:v>0.75</x:v>
      </x:c>
      <x:c r="D6" s="57" t="n">
        <x:f>B6*C6</x:f>
        <x:v>1.5</x:v>
      </x:c>
      <x:c r="E6" s="58" t="n">
        <x:f>'Inputs'!$B$7</x:f>
        <x:v>1050000</x:v>
      </x:c>
      <x:c r="F6" s="58" t="n">
        <x:f>D6*E6</x:f>
        <x:v>1575000</x:v>
      </x:c>
    </x:row>
    <x:row r="7" ht="15" hidden="0" customHeight="1">
      <x:c r="A7" s="47" t="str">
        <x:v>TOTAL</x:v>
      </x:c>
      <x:c r="B7" s="47" t="n">
        <x:f>SUM(B4:B6)</x:f>
        <x:v>9</x:v>
      </x:c>
      <x:c r="C7" s="59" t="str"/>
      <x:c r="D7" s="59" t="n">
        <x:f>SUM(D4:D6)</x:f>
        <x:v>7.66</x:v>
      </x:c>
      <x:c r="E7" s="60" t="str"/>
      <x:c r="F7" s="60" t="n">
        <x:f>SUM(F4:F6)</x:f>
        <x:v>15723000</x:v>
      </x:c>
    </x:row>
    <x:row r="8" ht="15" hidden="0" customHeight="1">
      <x:c r="A8" s="9"/>
      <x:c r="B8" s="9"/>
      <x:c r="C8" s="9"/>
      <x:c r="D8" s="9"/>
      <x:c r="E8" s="9"/>
      <x:c r="F8" s="9"/>
    </x:row>
    <x:row r="9" ht="15" hidden="0" customHeight="1">
      <x:c r="A9" s="9"/>
      <x:c r="B9" s="9"/>
      <x:c r="C9" s="9"/>
      <x:c r="D9" s="9"/>
      <x:c r="E9" s="9"/>
      <x:c r="F9" s="9"/>
    </x:row>
    <x:row r="10" ht="15" hidden="0" customHeight="1">
      <x:c r="A10" s="49" t="str">
        <x:v>METRIC</x:v>
      </x:c>
      <x:c r="B10" s="49" t="str">
        <x:v>VALUE</x:v>
      </x:c>
      <x:c r="C10" s="49" t="str">
        <x:v>LOGIC</x:v>
      </x:c>
      <x:c r="D10" s="49" t="str"/>
      <x:c r="E10" s="49" t="str"/>
      <x:c r="F10" s="49" t="str"/>
    </x:row>
    <x:row r="11" ht="21.600000381469727" hidden="0" customHeight="1">
      <x:c r="A11" s="44" t="str">
        <x:v>Gross capacity</x:v>
      </x:c>
      <x:c r="B11" s="58" t="n">
        <x:f>F7</x:f>
        <x:v>15723000</x:v>
      </x:c>
      <x:c r="C11" s="44" t="str">
        <x:v>Productive FTE × productivity</x:v>
      </x:c>
      <x:c r="D11" s="44" t="str"/>
      <x:c r="E11" s="44" t="str"/>
      <x:c r="F11" s="44" t="str"/>
    </x:row>
    <x:row r="12" ht="21.600000381469727" hidden="0" customHeight="1">
      <x:c r="A12" s="44" t="str">
        <x:v>Attrition-adjusted capacity</x:v>
      </x:c>
      <x:c r="B12" s="58" t="n">
        <x:f>B11*(1-'Inputs'!$B$4)</x:f>
        <x:v>14150700</x:v>
      </x:c>
      <x:c r="C12" s="44" t="str">
        <x:v>Gross capacity × retention</x:v>
      </x:c>
      <x:c r="D12" s="44" t="str"/>
      <x:c r="E12" s="44" t="str"/>
      <x:c r="F12" s="44" t="str"/>
    </x:row>
    <x:row r="13" ht="15" hidden="0" customHeight="1">
      <x:c r="A13" s="44" t="str">
        <x:v>Seller target</x:v>
      </x:c>
      <x:c r="B13" s="58" t="n">
        <x:f>'Inputs'!$B$3</x:f>
        <x:v>18000000</x:v>
      </x:c>
      <x:c r="C13" s="44" t="str">
        <x:v>From Bookings Plan</x:v>
      </x:c>
      <x:c r="D13" s="44" t="str"/>
      <x:c r="E13" s="44" t="str"/>
      <x:c r="F13" s="44" t="str"/>
    </x:row>
    <x:row r="14" ht="21.600000381469727" hidden="0" customHeight="1">
      <x:c r="A14" s="44" t="str">
        <x:v>Capacity gap</x:v>
      </x:c>
      <x:c r="B14" s="58" t="n">
        <x:f>B12-B13</x:f>
        <x:v>-3849300</x:v>
      </x:c>
      <x:c r="C14" s="44" t="str">
        <x:v>Positive = buffer; negative = hiring gap</x:v>
      </x:c>
      <x:c r="D14" s="44" t="str"/>
      <x:c r="E14" s="44" t="str"/>
      <x:c r="F14" s="44" t="str"/>
    </x:row>
    <x:row r="15" ht="21.600000381469727" hidden="0" customHeight="1">
      <x:c r="A15" s="47" t="str">
        <x:v>Additional blended FTE</x:v>
      </x:c>
      <x:c r="B15" s="61" t="n">
        <x:f>MAX(0,-B14/2200000)</x:f>
        <x:v>1.7496818181818181</x:v>
      </x:c>
      <x:c r="C15" s="47" t="str">
        <x:v>Gap / blended productivity</x:v>
      </x:c>
      <x:c r="D15" s="47" t="str"/>
      <x:c r="E15" s="47" t="str"/>
      <x:c r="F15" s="47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2" t="str">
        <x:v>Coverage &amp; Capacity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Capacity gap</x:v>
      </x:c>
      <x:c r="B3" s="64" t="n">
        <x:f>Model!B14</x:f>
        <x:v>-3849300</x:v>
      </x:c>
      <x:c r="C3" s="65" t="str">
        <x:f>IF(B3&gt;=0,"PASS","HIRE")</x:f>
        <x:v>HIRE</x:v>
      </x:c>
      <x:c r="D3" s="9" t="str">
        <x:v>CRO + Finance</x:v>
      </x:c>
      <x:c r="E3" s="9" t="str">
        <x:v>Tests whether plan is carryable</x:v>
      </x:c>
    </x:row>
    <x:row r="4" ht="15" hidden="0" customHeight="1">
      <x:c r="A4" s="9" t="str">
        <x:v>Additional FTE</x:v>
      </x:c>
      <x:c r="B4" s="64" t="n">
        <x:f>Model!B15</x:f>
        <x:v>1.7496818181818181</x:v>
      </x:c>
      <x:c r="C4" s="65" t="str">
        <x:v>OUTPUT</x:v>
      </x:c>
      <x:c r="D4" s="9" t="str">
        <x:v>Finance</x:v>
      </x:c>
      <x:c r="E4" s="9" t="str">
        <x:v>Hiring requirement</x:v>
      </x:c>
    </x:row>
    <x:row r="5" ht="15" hidden="0" customHeight="1">
      <x:c r="A5" s="9" t="str">
        <x:v>Productive FTE</x:v>
      </x:c>
      <x:c r="B5" s="64" t="n">
        <x:f>Model!D7</x:f>
        <x:v>7.66</x:v>
      </x:c>
      <x:c r="C5" s="65" t="str">
        <x:v>OUTPUT</x:v>
      </x:c>
      <x:c r="D5" s="9" t="str">
        <x:v>Quota Model</x:v>
      </x:c>
      <x:c r="E5" s="9" t="str">
        <x:v>Capacity-weighted allocation</x:v>
      </x:c>
    </x:row>
    <x:row r="6" ht="15" hidden="0" customHeight="1">
      <x:c r="A6" s="9" t="str">
        <x:v>Attrition assumption</x:v>
      </x:c>
      <x:c r="B6" s="64" t="n">
        <x:f>Inputs!B4</x:f>
        <x:v>0.1</x:v>
      </x:c>
      <x:c r="C6" s="65" t="str">
        <x:f>IF(B6&lt;=0.2,"PASS","REVIEW")</x:f>
        <x:v>PASS</x:v>
      </x:c>
      <x:c r="D6" s="9" t="str">
        <x:v>People + Finance</x:v>
      </x:c>
      <x:c r="E6" s="9" t="str">
        <x:v>Policy guardrail</x:v>
      </x:c>
    </x:row>
  </x:sheetData>
  <x:mergeCells>
    <x:mergeCell ref="A1:E1"/>
  </x:mergeCells>
  <x:pageMargins left="0.7" right="0.7" top="0.75" bottom="0.75" header="0.3" footer="0.3"/>
</x:worksheet>
</file>